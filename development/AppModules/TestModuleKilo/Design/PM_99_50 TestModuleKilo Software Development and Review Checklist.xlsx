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defaultThemeVersion="124226"/>
  <xr:revisionPtr revIDLastSave="0" documentId="13_ncr:1_{78653AF0-E559-4274-A96B-F5FF4CF551ED}" xr6:coauthVersionLast="47" xr6:coauthVersionMax="47" xr10:uidLastSave="{00000000-0000-0000-0000-000000000000}"/>
  <bookViews>
    <workbookView xWindow="-120" yWindow="-120" windowWidth="29040" windowHeight="17520" tabRatio="690" activeTab="1" xr2:uid="{6F53CD33-9A1A-4BC1-84FF-81159286FB94}"/>
  </bookViews>
  <sheets>
    <sheet name="Cover Sheet" sheetId="15" r:id="rId1"/>
    <sheet name="Development Checklist" sheetId="3" r:id="rId2"/>
    <sheet name="Maintenance Checklist" sheetId="9" r:id="rId3"/>
    <sheet name="Review Checklist" sheetId="1" r:id="rId4"/>
    <sheet name="Module Requirements and Tests" sheetId="13" r:id="rId5"/>
    <sheet name="Integration Verification" sheetId="14" r:id="rId6"/>
    <sheet name="Revision History" sheetId="10" r:id="rId7"/>
  </sheets>
  <definedNames>
    <definedName name="_xlnm.Print_Area" localSheetId="0">'Cover Sheet'!$A$1:$B$12</definedName>
    <definedName name="UL_010_0001_S_I_Seagull_Power_Supply_Sensing_and_Indicators" localSheetId="0">#REF!</definedName>
    <definedName name="UL_010_0001_S_I_Seagull_Power_Supply_Sensing_and_Indicators">#REF!</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8" i="13" l="1" a="1"/>
  <c r="E8" i="13" s="1"/>
  <c r="C5" i="14"/>
  <c r="C3" i="14"/>
  <c r="C4" i="14"/>
  <c r="E14" i="13" a="1"/>
  <c r="E14" i="13" s="1"/>
  <c r="E13" i="13" a="1"/>
  <c r="E13" i="13" s="1"/>
  <c r="E11" i="13" a="1"/>
  <c r="E11" i="13" s="1"/>
  <c r="E10" i="13" a="1"/>
  <c r="E10" i="13" s="1"/>
  <c r="E9" i="13" a="1"/>
  <c r="E9" i="13" s="1"/>
  <c r="E7" i="13" a="1"/>
  <c r="E7" i="13" s="1"/>
  <c r="E6" i="13" a="1"/>
  <c r="E6" i="13" s="1"/>
  <c r="E5" i="13" a="1"/>
  <c r="E5" i="13" s="1"/>
  <c r="E12" i="13" a="1"/>
  <c r="E12" i="13" s="1"/>
  <c r="A6" i="13" l="1"/>
  <c r="A7" i="13" s="1"/>
  <c r="C5" i="13"/>
  <c r="C7" i="13" l="1"/>
  <c r="A8" i="13"/>
  <c r="C6" i="13"/>
  <c r="A9" i="13" l="1"/>
  <c r="C8" i="13"/>
  <c r="C9" i="13" l="1"/>
  <c r="A10" i="13"/>
  <c r="A11" i="13" l="1"/>
  <c r="C10" i="13"/>
  <c r="C11" i="13" l="1"/>
  <c r="A12" i="13"/>
  <c r="A13" i="13" l="1"/>
  <c r="C12" i="13"/>
  <c r="C13" i="13" l="1"/>
  <c r="A14" i="13"/>
  <c r="C14"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<sst xmlns="http://schemas.openxmlformats.org/spreadsheetml/2006/main" count="383" uniqueCount="319">
  <si>
    <t>Files</t>
  </si>
  <si>
    <t>Style</t>
  </si>
  <si>
    <t>Functionality</t>
  </si>
  <si>
    <t>Checklist</t>
  </si>
  <si>
    <t xml:space="preserve">Developer </t>
  </si>
  <si>
    <t>Reviewer</t>
  </si>
  <si>
    <t>Do variables, constants, functions, etc follow naming guidelines?</t>
  </si>
  <si>
    <t>Is code understandable by reviewer? (Adequately commented)</t>
  </si>
  <si>
    <t>Comments</t>
  </si>
  <si>
    <t>Design Review Form</t>
  </si>
  <si>
    <t>Number</t>
  </si>
  <si>
    <t>For PIOS Drivers Only</t>
  </si>
  <si>
    <t>Is there a docklight script for the PIOS test harness</t>
  </si>
  <si>
    <t>If there are processes that are required to occur periodically for correct operation of the module, does the module enroll to Supervisor</t>
  </si>
  <si>
    <t>Step</t>
  </si>
  <si>
    <t>Description</t>
  </si>
  <si>
    <t>1a</t>
  </si>
  <si>
    <t>1b</t>
  </si>
  <si>
    <t>1c</t>
  </si>
  <si>
    <t>1d</t>
  </si>
  <si>
    <t>Update PIOS.h</t>
  </si>
  <si>
    <t>For PIOS Ports</t>
  </si>
  <si>
    <t>1e</t>
  </si>
  <si>
    <t>Generic</t>
  </si>
  <si>
    <t>Is sanity checking done on parameters</t>
  </si>
  <si>
    <t xml:space="preserve">Item Verified: </t>
  </si>
  <si>
    <t>Location:</t>
  </si>
  <si>
    <r>
      <t xml:space="preserve">Prepared by
</t>
    </r>
    <r>
      <rPr>
        <sz val="10"/>
        <color indexed="8"/>
        <rFont val="Arial"/>
        <family val="2"/>
      </rPr>
      <t>(initials)</t>
    </r>
  </si>
  <si>
    <r>
      <t xml:space="preserve">When
</t>
    </r>
    <r>
      <rPr>
        <sz val="10"/>
        <color indexed="8"/>
        <rFont val="Arial"/>
        <family val="2"/>
      </rPr>
      <t>(dd/mm/yy)</t>
    </r>
  </si>
  <si>
    <r>
      <t xml:space="preserve">Checked by
</t>
    </r>
    <r>
      <rPr>
        <sz val="10"/>
        <color indexed="8"/>
        <rFont val="Arial"/>
        <family val="2"/>
      </rPr>
      <t>(initials)</t>
    </r>
  </si>
  <si>
    <t>1</t>
  </si>
  <si>
    <t>Developer Sign-off</t>
  </si>
  <si>
    <t>Reviewer Sign-off</t>
  </si>
  <si>
    <t>Development and Review Checklist</t>
  </si>
  <si>
    <t>Does the test file adequately cover all Functional requirements of the module?</t>
  </si>
  <si>
    <t>Have you checked your code for spelling mistakes</t>
  </si>
  <si>
    <t>For all Misra-C rules turned off, are there sufficient comments to address violations?</t>
  </si>
  <si>
    <t>RB1</t>
  </si>
  <si>
    <t>RB2</t>
  </si>
  <si>
    <t xml:space="preserve">COMPLETION SIGNOFF– Development is not complete until sign off
</t>
  </si>
  <si>
    <t>Reviewer SIGNOFF</t>
  </si>
  <si>
    <t>For new level 3 drivers copy Template CTL.c, CTL.h, CPU.h, Port.h, Port.c, Config.c, Config.h into the sandbox</t>
  </si>
  <si>
    <t>Copy Port.c, Config.c, Config.h from an existing port of the driver into the sandbox for the new driver</t>
  </si>
  <si>
    <t>TemplateModule</t>
  </si>
  <si>
    <t>If the PIOS Driver needs to make a change to PIOS.h, have you created a branch of the GAM Includes folder into the review branch?</t>
  </si>
  <si>
    <t>Best practice and Misra-C</t>
  </si>
  <si>
    <t>Do all your header files have unique include guards?</t>
  </si>
  <si>
    <t>Does your module's compile switch, compile out the source code, including the test code.</t>
  </si>
  <si>
    <t>If this is a new module, is the version 1.0.0?</t>
  </si>
  <si>
    <t>Date</t>
  </si>
  <si>
    <t>Reviewed Module Details</t>
  </si>
  <si>
    <t>Module Title</t>
  </si>
  <si>
    <t>Module Number</t>
  </si>
  <si>
    <t>XX.XX</t>
  </si>
  <si>
    <t>Are all error levels customisable with a #define in the config file?</t>
  </si>
  <si>
    <t>JS</t>
  </si>
  <si>
    <t>1f</t>
  </si>
  <si>
    <t>Create ticket corresponding to this module in the Jira board: https://genesysdesign.atlassian.net/jira/software/c/projects/GDRP/boards/16</t>
  </si>
  <si>
    <t>Reviewer Action Only</t>
  </si>
  <si>
    <t>Ensure Config.c and Config.h files are updated in the sandbox</t>
  </si>
  <si>
    <t>ROAD BLOCK – do not proceed until above steps complete and reviewed
Advance Jira ticket to RB1 for preliminary documentation review</t>
  </si>
  <si>
    <t>ROAD BLOCK – do not proceed until above steps complete and reviewed
Advance Jira ticket to RB2 for code review</t>
  </si>
  <si>
    <t>Have you filled in the cover sheet of this spread sheet</t>
  </si>
  <si>
    <t>Files Contained In Module</t>
  </si>
  <si>
    <t>TemplateModule.c
TemplateModule.h
TemplateModuleTest.c
TemplateModuleTest.h
TemplateModuleConfig.c
TemplateModuleConfig.h</t>
  </si>
  <si>
    <t xml:space="preserve">Latest Revision by </t>
  </si>
  <si>
    <t>Further information</t>
  </si>
  <si>
    <t>NOTE - Misra-C Checker Should be run on the entire project before submitting the module. When debugging errors it is acceptable to only run misra on the specified module
The Misra Installation Guide can be found in 
K:\Genesys\Design Files\GD-014 Software Suites\GD-014-0022 Genesys Misra C Checker\Software Release Report
Information on errors can be found: 
K:\Genesys\Design Files\GD-014 Software Suites\GD-014-0022 Genesys Misra C Checker\Design Notes</t>
  </si>
  <si>
    <t>Has the Modules .su file been submitted along with this review?  Does it show that the stack usage of each function does not exceed 256 Bytes unless otherwise justified?</t>
  </si>
  <si>
    <t xml:space="preserve">An easy way to check the code for spelling mistakes is to use VS code extensions (e.g. Code Spell Checker) while writing the code. To check spelling across all modules, open up all files to be checked in VS code, and press ctrl j. This will open up a window showing any unkown spelling of words of open files:
</t>
  </si>
  <si>
    <t>The intent of this test is to provide a quick sanity check on whether a single function uses excessive stack (e.g. due to locally declared large arrays). It is not intended to verify total stack useage, at that should be done at a project level
Stack usage files can be generated using "-fstack-usage". This should be enabled by default for the nRF template project</t>
  </si>
  <si>
    <t xml:space="preserve">E.g.
</t>
  </si>
  <si>
    <t>New Module Only (Do not delete For Maintenance)</t>
  </si>
  <si>
    <t>Module Revision Only (Do not fill out for a new module)</t>
  </si>
  <si>
    <t>Date Module updated</t>
  </si>
  <si>
    <r>
      <rPr>
        <b/>
        <sz val="10"/>
        <color theme="1"/>
        <rFont val="Arial"/>
        <family val="2"/>
      </rPr>
      <t>Item Revision:</t>
    </r>
    <r>
      <rPr>
        <sz val="10"/>
        <color theme="1"/>
        <rFont val="Arial"/>
        <family val="2"/>
      </rPr>
      <t xml:space="preserve">
Revision is found in the .h file and should include subminor revision</t>
    </r>
  </si>
  <si>
    <r>
      <rPr>
        <b/>
        <sz val="10"/>
        <color theme="1"/>
        <rFont val="Arial"/>
        <family val="2"/>
      </rPr>
      <t>Item Date:</t>
    </r>
    <r>
      <rPr>
        <sz val="10"/>
        <color theme="1"/>
        <rFont val="Arial"/>
        <family val="2"/>
      </rPr>
      <t xml:space="preserve">
Date is found in the .h file and should include subminor revision</t>
    </r>
  </si>
  <si>
    <t>Hardware Verified on</t>
  </si>
  <si>
    <t>Item</t>
  </si>
  <si>
    <t xml:space="preserve">Revision/Issue </t>
  </si>
  <si>
    <t>Description of Changes</t>
  </si>
  <si>
    <t>Modified By</t>
  </si>
  <si>
    <t>Approved</t>
  </si>
  <si>
    <t>2</t>
  </si>
  <si>
    <t>3</t>
  </si>
  <si>
    <t>4</t>
  </si>
  <si>
    <t>5</t>
  </si>
  <si>
    <t>6</t>
  </si>
  <si>
    <t>7</t>
  </si>
  <si>
    <t>8</t>
  </si>
  <si>
    <t>9</t>
  </si>
  <si>
    <t>10</t>
  </si>
  <si>
    <t>11</t>
  </si>
  <si>
    <t>12</t>
  </si>
  <si>
    <t>13</t>
  </si>
  <si>
    <t>14</t>
  </si>
  <si>
    <t>15</t>
  </si>
  <si>
    <t>16</t>
  </si>
  <si>
    <t>17</t>
  </si>
  <si>
    <t>18</t>
  </si>
  <si>
    <t>19</t>
  </si>
  <si>
    <t>2A</t>
  </si>
  <si>
    <t>Initial release of document with revision history and simplified flow</t>
  </si>
  <si>
    <t xml:space="preserve">Optimisation Level </t>
  </si>
  <si>
    <t>Revision History (only to be changed in the template, not per gels module)</t>
  </si>
  <si>
    <r>
      <rPr>
        <b/>
        <sz val="9"/>
        <color rgb="FF000000"/>
        <rFont val="Arial"/>
        <family val="2"/>
      </rPr>
      <t>If Required</t>
    </r>
    <r>
      <rPr>
        <sz val="9"/>
        <color rgb="FF000000"/>
        <rFont val="Arial"/>
        <family val="2"/>
      </rPr>
      <t>, branch the Port files from trunk to maintenance. The folder structure should be in the form: 
\PIOS_Drivers\maintenance\Port\STM32\PIOSPort\HARDWARE\GDRP-532_610
Where 532 and 610 refer to the jira tickets that are being actioned in maintenance.
Replace STM32 with the relevant value</t>
    </r>
  </si>
  <si>
    <r>
      <rPr>
        <b/>
        <sz val="9"/>
        <color rgb="FF000000"/>
        <rFont val="Arial"/>
        <family val="2"/>
      </rPr>
      <t>If Required</t>
    </r>
    <r>
      <rPr>
        <sz val="9"/>
        <color rgb="FF000000"/>
        <rFont val="Arial"/>
        <family val="2"/>
      </rPr>
      <t>, branch the Config files from trunk to maintenance. The folder structure should be in the form: 
\PIOS_Drivers\maintenance\Port\STM32\PIOSConfigTemplate\HARDWARE\GDRP-532_610
Where 532 and 610 refer to the jira tickets that are being actioned in maintenance.
Replace STM32 with the relevant value</t>
    </r>
  </si>
  <si>
    <r>
      <rPr>
        <b/>
        <sz val="9"/>
        <color rgb="FF000000"/>
        <rFont val="Arial"/>
        <family val="2"/>
      </rPr>
      <t>If Required</t>
    </r>
    <r>
      <rPr>
        <sz val="9"/>
        <color rgb="FF000000"/>
        <rFont val="Arial"/>
        <family val="2"/>
      </rPr>
      <t>, branch the config files from trunk to maintenance. The folder structure should be in the form: 
\maintenance\AppTemplate\AppModuleConfig\FileManager\GDRP-650_698
Where 650 and 698 refer to the jira tickets that are being actioned in maintenance</t>
    </r>
  </si>
  <si>
    <t>Delete the sandbox branch</t>
  </si>
  <si>
    <t>If this is a revision, has the module version been incremented according to whether it is a major, minor, subminor change?</t>
  </si>
  <si>
    <t xml:space="preserve">E.g. 
</t>
  </si>
  <si>
    <t>eg.:
#ifndef INCLUDED_DAC_CONTROLLER_DAC124S085_TEST_H_FILE
#define INCLUDED_DAC_CONTROLLER_DAC124S085_TEST_H_FILE</t>
  </si>
  <si>
    <t>Doxygen</t>
  </si>
  <si>
    <t>Are all variables declared within the minimum scope possible?
Are Global variables only used when necessary?</t>
  </si>
  <si>
    <t>Reviewer action Only:</t>
  </si>
  <si>
    <t>1.0.0</t>
  </si>
  <si>
    <t>Implement Unit Tests in modules Test.c/h file</t>
  </si>
  <si>
    <t>Advance Jira ticket to IEC 62304 READY</t>
  </si>
  <si>
    <t>Complete the review checklist</t>
  </si>
  <si>
    <t>Has the Misra-C Checker Output been submitted along with this review?</t>
  </si>
  <si>
    <t>Select From Dropdown</t>
  </si>
  <si>
    <t xml:space="preserve">Genesys </t>
  </si>
  <si>
    <t>Create and commit the module files to the sandbox. This can be done by running the RunFileRenamerAndCopier.bat 
file within the template module and template module config file. This will also generate the chunks of code for step 1b and 1c</t>
  </si>
  <si>
    <t>Delete the maintenance branches</t>
  </si>
  <si>
    <t xml:space="preserve">Module is in trunk </t>
  </si>
  <si>
    <t>Evidence</t>
  </si>
  <si>
    <t>All functions that can have errors, report the error to the standard Error module</t>
  </si>
  <si>
    <t>All tests pass or are marked as N/A with justification</t>
  </si>
  <si>
    <t>Fill out the Module Requirements and Tests tab of this document</t>
  </si>
  <si>
    <t>To be done before RB1</t>
  </si>
  <si>
    <t>Requirements</t>
  </si>
  <si>
    <t>Module Data</t>
  </si>
  <si>
    <t>Verified by</t>
  </si>
  <si>
    <t>Code Review</t>
  </si>
  <si>
    <r>
      <rPr>
        <b/>
        <sz val="10"/>
        <color theme="1"/>
        <rFont val="Arial"/>
        <family val="2"/>
      </rPr>
      <t xml:space="preserve">NOTE - this is a guide and can be changed (DELETE BOLD TEXT AND REMOVE HIGHLIGHTING)
</t>
    </r>
    <r>
      <rPr>
        <sz val="10"/>
        <color theme="1"/>
        <rFont val="Arial"/>
        <family val="2"/>
      </rPr>
      <t>All APIs that contain three or more Input arguments will have their sanity checking verified using test code. APIs that contain less than three input arguments shall be tested through code review</t>
    </r>
  </si>
  <si>
    <r>
      <rPr>
        <b/>
        <sz val="10"/>
        <color theme="1"/>
        <rFont val="Arial"/>
        <family val="2"/>
      </rPr>
      <t>NOTE - this is a guide and can be changed. If a specific module requires (DELETE BOLD TEXT AND REMOVE HIGHLIGHTING)</t>
    </r>
    <r>
      <rPr>
        <sz val="10"/>
        <color theme="1"/>
        <rFont val="Arial"/>
        <family val="2"/>
      </rPr>
      <t xml:space="preserve">
Invalid functionality of the module should declare a error </t>
    </r>
  </si>
  <si>
    <t>Automated Test Code</t>
  </si>
  <si>
    <r>
      <t>Test Verification Strategy, Method and Process</t>
    </r>
    <r>
      <rPr>
        <sz val="10"/>
        <color theme="1"/>
        <rFont val="Arial"/>
        <family val="2"/>
      </rPr>
      <t xml:space="preserve"> [IEC 62304 5.5.2]</t>
    </r>
    <r>
      <rPr>
        <b/>
        <sz val="10"/>
        <color theme="1"/>
        <rFont val="Arial"/>
        <family val="2"/>
      </rPr>
      <t xml:space="preserve">
</t>
    </r>
    <r>
      <rPr>
        <sz val="10"/>
        <color theme="1"/>
        <rFont val="Arial"/>
        <family val="2"/>
      </rPr>
      <t>("The MANUFACTURER shall establish strategies, methods and procedures for verifying the SOFTWARE UNITS. ")</t>
    </r>
  </si>
  <si>
    <r>
      <t>Test Procedure Evaluation</t>
    </r>
    <r>
      <rPr>
        <sz val="10"/>
        <color theme="1"/>
        <rFont val="Arial"/>
        <family val="2"/>
      </rPr>
      <t xml:space="preserve"> [IEC 62304 5.5.2]</t>
    </r>
    <r>
      <rPr>
        <b/>
        <sz val="10"/>
        <color theme="1"/>
        <rFont val="Arial"/>
        <family val="2"/>
      </rPr>
      <t xml:space="preserve">
</t>
    </r>
    <r>
      <rPr>
        <sz val="10"/>
        <color theme="1"/>
        <rFont val="Arial"/>
        <family val="2"/>
      </rPr>
      <t>("Where VERIFICATION is done by testing, the test procedures shall be EVALUATED for adequacy")</t>
    </r>
  </si>
  <si>
    <t>THIS IS AN EXAMPLE</t>
  </si>
  <si>
    <r>
      <rPr>
        <b/>
        <sz val="10"/>
        <color theme="1"/>
        <rFont val="Arial"/>
        <family val="2"/>
      </rPr>
      <t xml:space="preserve">Test Number </t>
    </r>
    <r>
      <rPr>
        <sz val="10"/>
        <color theme="1"/>
        <rFont val="Arial"/>
        <family val="2"/>
      </rPr>
      <t xml:space="preserve">
(NOTE - Code review tests should include a debug message and return TEST_NOT_TESTABLE. In general Test numbers should map to requirement numbers)</t>
    </r>
  </si>
  <si>
    <r>
      <t xml:space="preserve">Requirement
</t>
    </r>
    <r>
      <rPr>
        <sz val="10"/>
        <color theme="1"/>
        <rFont val="Arial"/>
        <family val="2"/>
      </rPr>
      <t>(module requirements should define the functionality and capability of the module)</t>
    </r>
  </si>
  <si>
    <t>0a</t>
  </si>
  <si>
    <t>0b</t>
  </si>
  <si>
    <t>Pre-maintenance actions</t>
  </si>
  <si>
    <t>Maintenance actions</t>
  </si>
  <si>
    <r>
      <rPr>
        <b/>
        <sz val="9"/>
        <color rgb="FF000000"/>
        <rFont val="Arial"/>
        <family val="2"/>
      </rPr>
      <t>MINOR/MAJOR CHANGE ONLY</t>
    </r>
    <r>
      <rPr>
        <sz val="9"/>
        <color rgb="FF000000"/>
        <rFont val="Arial"/>
        <family val="2"/>
      </rPr>
      <t xml:space="preserve">
If required, update module requirements in Module Requirements and Tests tab file</t>
    </r>
  </si>
  <si>
    <t>Are all module requirements defined so that they:
a) implement SYSTEM requirements including those relating to RISK CONTROL;
b) do not contradict one another;
c) are expressed in terms that avoid ambiguity;
d) are stated in terms that permit establishment of test criteria and performance of tests;
e) can be uniquely identified; 
[IEC 62304 5.5.3]</t>
  </si>
  <si>
    <t>Requirement Not Implemented</t>
  </si>
  <si>
    <t>0c</t>
  </si>
  <si>
    <t>For Middleware Only</t>
  </si>
  <si>
    <r>
      <t xml:space="preserve">Test Type
</t>
    </r>
    <r>
      <rPr>
        <sz val="10"/>
        <color theme="1"/>
        <rFont val="Arial"/>
        <family val="2"/>
      </rPr>
      <t>(choose from list)</t>
    </r>
  </si>
  <si>
    <r>
      <t xml:space="preserve">Pass criteria
</t>
    </r>
    <r>
      <rPr>
        <sz val="10"/>
        <color theme="1"/>
        <rFont val="Arial"/>
        <family val="2"/>
      </rPr>
      <t>(autofilled)</t>
    </r>
  </si>
  <si>
    <r>
      <t xml:space="preserve">Additional Test Information
</t>
    </r>
    <r>
      <rPr>
        <sz val="10"/>
        <color theme="1"/>
        <rFont val="Arial"/>
        <family val="2"/>
      </rPr>
      <t>If required, this column can be used to provide information on the type of test, details of the test configuration, test software, and test equipment.</t>
    </r>
  </si>
  <si>
    <t xml:space="preserve">The Module shall implement Functions that perform sanity Checking of arguments and exception handling  </t>
  </si>
  <si>
    <t>The Module shall link to standard Genesys error app-module (Error) for error reporting.</t>
  </si>
  <si>
    <r>
      <t xml:space="preserve">Tested by
</t>
    </r>
    <r>
      <rPr>
        <sz val="10"/>
        <color theme="1"/>
        <rFont val="Arial"/>
        <family val="2"/>
      </rPr>
      <t xml:space="preserve">(initials)
</t>
    </r>
  </si>
  <si>
    <t xml:space="preserve">NOTE </t>
  </si>
  <si>
    <t>o2 (balanced)</t>
  </si>
  <si>
    <t>Integration Verification Lead:</t>
  </si>
  <si>
    <t>Integration Verification Lead is different to person who prepared the test (see Module Requirements and Tests tab)</t>
  </si>
  <si>
    <t>CCC-013-nnnn</t>
  </si>
  <si>
    <t>Development checklist complete and reviewed</t>
  </si>
  <si>
    <t>This is taken from [IEC 62304 5.5.3]. Clause f is excluded, as it is not applicable for libraryised modules
f) are traceable to SYSTEM requirements or other source.
Comments on specific requirements can be made using the excel comment feature if required.</t>
  </si>
  <si>
    <r>
      <rPr>
        <b/>
        <sz val="9"/>
        <color rgb="FF000000"/>
        <rFont val="Arial"/>
        <family val="2"/>
      </rPr>
      <t xml:space="preserve">MINOR/MAJOR CHANGE ONLY 
</t>
    </r>
    <r>
      <rPr>
        <sz val="9"/>
        <color rgb="FF000000"/>
        <rFont val="Arial"/>
        <family val="2"/>
      </rPr>
      <t>Clear and repopulate the review checklist</t>
    </r>
  </si>
  <si>
    <t>Review Checklist: This is to always be filled out except when justified not needed for sub-minor maintenance changes</t>
  </si>
  <si>
    <t>Development checklist: This is filled out ONLY ONCE when the module is created (Initial development in sandbox)</t>
  </si>
  <si>
    <t>In general test code and private functions do not need doxygen documentation, however commenting should be included when required</t>
  </si>
  <si>
    <t>Module Version</t>
  </si>
  <si>
    <t>Implement functionality in module.c/.h file</t>
  </si>
  <si>
    <t>Alert the Template project owner(s) that the module is in trunk</t>
  </si>
  <si>
    <t>The process to achieve this is: 
1. Install and run doxygen using the instructions found in 
K:\Genesys\Design Files\GD-014 Software Suites\GD-014-0029 Doxygen\Software Release Report
2. Run the RunCopyHtml.bat, from the Design/DoxyOutputs folder of the specified module. 
3. Manually check both the DoxygenWarnings.txt and all the html files which should now be in the Design/DoxyOutputs folder
4. Add and commit all of the files which are now in the Design/DoxyOutputs folder.</t>
  </si>
  <si>
    <t xml:space="preserve">The doxygen html files are included in the design folder, and show that there are no obvious errors in the doxygen documentation.
</t>
  </si>
  <si>
    <t xml:space="preserve">When doxygen is run over the entire project (not just this module), does the DoxygenWarnings.txt show that there are no Doxygen errors specifically related to this module?
</t>
  </si>
  <si>
    <r>
      <t xml:space="preserve">All </t>
    </r>
    <r>
      <rPr>
        <b/>
        <sz val="9"/>
        <color theme="1"/>
        <rFont val="Arial"/>
        <family val="2"/>
      </rPr>
      <t>public functions</t>
    </r>
    <r>
      <rPr>
        <sz val="9"/>
        <color theme="1"/>
        <rFont val="Arial"/>
        <family val="2"/>
      </rPr>
      <t xml:space="preserve"> are documented in a doxygen compliant manner</t>
    </r>
  </si>
  <si>
    <r>
      <t xml:space="preserve">All </t>
    </r>
    <r>
      <rPr>
        <b/>
        <sz val="9"/>
        <color theme="1"/>
        <rFont val="Arial"/>
        <family val="2"/>
      </rPr>
      <t>public structs and their members</t>
    </r>
    <r>
      <rPr>
        <sz val="9"/>
        <color theme="1"/>
        <rFont val="Arial"/>
        <family val="2"/>
      </rPr>
      <t xml:space="preserve"> are documented in a doxygen compliant manner. </t>
    </r>
  </si>
  <si>
    <r>
      <t xml:space="preserve">All </t>
    </r>
    <r>
      <rPr>
        <b/>
        <sz val="9"/>
        <color theme="1"/>
        <rFont val="Arial"/>
        <family val="2"/>
      </rPr>
      <t>externs</t>
    </r>
    <r>
      <rPr>
        <sz val="9"/>
        <color theme="1"/>
        <rFont val="Arial"/>
        <family val="2"/>
      </rPr>
      <t xml:space="preserve"> of public variables and constants are documented in a doxygen compliant manner.</t>
    </r>
  </si>
  <si>
    <r>
      <rPr>
        <b/>
        <sz val="9"/>
        <color theme="1"/>
        <rFont val="Arial"/>
        <family val="2"/>
      </rPr>
      <t>Non-trivial private functions</t>
    </r>
    <r>
      <rPr>
        <sz val="9"/>
        <color theme="1"/>
        <rFont val="Arial"/>
        <family val="2"/>
      </rPr>
      <t xml:space="preserve"> are either self explanatory or are effectively documented. Doxygen style is reccomended but not enforced. </t>
    </r>
  </si>
  <si>
    <t>Implement required functional change in the module</t>
  </si>
  <si>
    <t>IF config files changes are required, ensure they are updated in their corresponding AppModuleConfig maintenance branch</t>
  </si>
  <si>
    <r>
      <t xml:space="preserve">Advance Jira Issue tickets to </t>
    </r>
    <r>
      <rPr>
        <i/>
        <sz val="9"/>
        <color rgb="FF000000"/>
        <rFont val="Arial"/>
        <family val="2"/>
      </rPr>
      <t>IN PROGRESS</t>
    </r>
  </si>
  <si>
    <r>
      <t xml:space="preserve">Advance Jira Issue tickets to </t>
    </r>
    <r>
      <rPr>
        <i/>
        <sz val="9"/>
        <color rgb="FF000000"/>
        <rFont val="Arial"/>
        <family val="2"/>
      </rPr>
      <t>READY FOR REVIEW</t>
    </r>
  </si>
  <si>
    <t>Branching For Middleware</t>
  </si>
  <si>
    <t>Branching For PIOS Drivers</t>
  </si>
  <si>
    <r>
      <t xml:space="preserve">Move relevant tickets from </t>
    </r>
    <r>
      <rPr>
        <i/>
        <sz val="9"/>
        <color rgb="FF000000"/>
        <rFont val="Arial"/>
        <family val="2"/>
      </rPr>
      <t>RESOLVED</t>
    </r>
    <r>
      <rPr>
        <sz val="9"/>
        <color rgb="FF000000"/>
        <rFont val="Arial"/>
        <family val="2"/>
      </rPr>
      <t>.</t>
    </r>
  </si>
  <si>
    <t>For new PIOS Driver Type</t>
  </si>
  <si>
    <t>Merge the files (config + modules) from maintenance to trunk
(NOTE Commits to trunk must contain version number!)</t>
  </si>
  <si>
    <t>Maintenance checklist: This is filled out when doing maintenance of a released module (maintenance branch in SVN)
If this sheet has been filled in when entering maintenance, clear the sheet and refill it.</t>
  </si>
  <si>
    <t>Are the "Unit Acceptance Criteria" found in the "Integration Verification" tab appropriate for this module?</t>
  </si>
  <si>
    <t>To be done for in-situ Integration Testing (FOR MEDICAL ONLY)</t>
  </si>
  <si>
    <t>Test Evidence 
(NOTE - this should never be filled out in libraryised code)</t>
  </si>
  <si>
    <t>Has the module.dox version number been updated to the latest version?</t>
  </si>
  <si>
    <t>Have you Ensured that cover sheet dates and versions of this form match the module date and versions of the module.dox file?</t>
  </si>
  <si>
    <t>Does the module.dox file contain the version history, which matches the @version and @date?</t>
  </si>
  <si>
    <t>Update Version number and date of:
- module.dox 
- This document's cover sheet</t>
  </si>
  <si>
    <t>Fill in @details section of module.dox. Ensure 
1. "Module Summary" contains a detailed summary of the modules architecture, what it does, how it works, and how it interacts with other modules. Include references to pictures if required.
2. "How to Use" provides a comprehensive summary of how to use the module APIs and set up the structs defined in the config files</t>
  </si>
  <si>
    <t xml:space="preserve">All Images (diagrams, documentation and evidence), and videos are as low quality as possible without impact legibility </t>
  </si>
  <si>
    <t>File size should be reduced to minimise time for SVN checkout</t>
  </si>
  <si>
    <t>Branch the library files from trunk to maintenance (use TortoiseSVN-&gt;Branch or "Copy to..." from the repo browser). The folder structure should be in the form: 
\maintenance\Libraries\AppModules\FileManager\GDRP-650_698
Where 650 and 698 refer to the jira tickets that are being actioned in maintenance</t>
  </si>
  <si>
    <t>Branch the Common files from trunk to maintenance (use TortoiseSVN-&gt;Branch or "Copy to..." from the repo browser). The folder structure should be in the form: 
\PIOS_Drivers\maintenance\Common\HARDWARE\GDRP-532_610
Where 532 and 610 refer to the jira tickets that are being actioned in maintenance.
This is required as the common folder contains the design sheet</t>
  </si>
  <si>
    <r>
      <rPr>
        <b/>
        <sz val="9"/>
        <color rgb="FF000000"/>
        <rFont val="Arial"/>
        <family val="2"/>
      </rPr>
      <t>MINOR/MAJOR CHANGE ONLY</t>
    </r>
    <r>
      <rPr>
        <sz val="9"/>
        <color rgb="FF000000"/>
        <rFont val="Arial"/>
        <family val="2"/>
      </rPr>
      <t xml:space="preserve">
If required update module documentation in module.h (for each function, struct or macro) and module.dox </t>
    </r>
  </si>
  <si>
    <t>Have you reviewed the code for potential performance optimizations, such as eliminating unnecessary loops, unnecessary memsets, or reducing memory usage?</t>
  </si>
  <si>
    <t>For example, several modules call memset on an array regardless of whether the array is used</t>
  </si>
  <si>
    <t>Refer to GD-0008-GUIDE1 Genesys Software Development Guidelines
Q:\GD-0008 Genesys Software Design Process\GD-0008-GUIDE1 Genesys Software Development Guidelines.pdf</t>
  </si>
  <si>
    <t xml:space="preserve">Have you checked for tabs and trailing white space?
</t>
  </si>
  <si>
    <t>This can be fixed by running the auto formatter over the code 
For details on autoformatter settings and use see GD-0008-GUIDE1 Genesys Software Development Guidelines
(Q:\GD-0008 Genesys Software Design Process\GD-0008-GUIDE1 Genesys Software Development Guidelines.pdf)</t>
  </si>
  <si>
    <t>For details on doxygen documentation see GD-0008-GUIDE1 Genesys Software Development Guidelines
(Q:\GD-0008 Genesys Software Design Process\GD-0008-GUIDE1 Genesys Software Development Guidelines.pdf)</t>
  </si>
  <si>
    <r>
      <t xml:space="preserve">All </t>
    </r>
    <r>
      <rPr>
        <b/>
        <sz val="9"/>
        <color theme="1"/>
        <rFont val="Arial"/>
        <family val="2"/>
      </rPr>
      <t xml:space="preserve">constants (#define) </t>
    </r>
    <r>
      <rPr>
        <sz val="9"/>
        <color theme="1"/>
        <rFont val="Arial"/>
        <family val="2"/>
      </rPr>
      <t>are documented in a doxygen compliant manner (either as a group or on a per item basis)</t>
    </r>
  </si>
  <si>
    <r>
      <t xml:space="preserve">All </t>
    </r>
    <r>
      <rPr>
        <b/>
        <sz val="9"/>
        <color theme="1"/>
        <rFont val="Arial"/>
        <family val="2"/>
      </rPr>
      <t xml:space="preserve">#define errors </t>
    </r>
    <r>
      <rPr>
        <sz val="9"/>
        <color theme="1"/>
        <rFont val="Arial"/>
        <family val="2"/>
      </rPr>
      <t>are included as a group and defined in a doxygen compliant way</t>
    </r>
  </si>
  <si>
    <t>Do all functions that can have errors return the standard genoError_t genesys Error structure when it makes sense to do so?</t>
  </si>
  <si>
    <t xml:space="preserve">discretion is allowed - e.g. an IsIdle function can return GD_TRUE/GD_FALSE rather than the error. 
Note, some existing modules return GD_TRUE if successful, or GD_FALSE if unsuccessful. </t>
  </si>
  <si>
    <t>Does the module work and does test code pass with different combinations of #define combinations? If not, does the test code provide proper documentation about the required #defines that are needed?</t>
  </si>
  <si>
    <t>This is done to maintain backwards compatibility. For example, if a new macro is added to the config.h, the .c file may include the code:
#if !defined(MODULE_CONFIG__NEW_MACRO)
#warning MODULE_CONFIG__NEW_MACRO is not defined so default value is used!
#define MODULE_CONFIG__NEW_MACRO 10U // typical value is 10
#endif</t>
  </si>
  <si>
    <t>20-Jul-2023</t>
  </si>
  <si>
    <t>GBR</t>
  </si>
  <si>
    <t>ROAD BLOCK – do not proceed until above steps complete and reviewed
Advance Jira ticket to RB3 got integration review</t>
  </si>
  <si>
    <t>Not tested on any template project (list the project that it was tested on in the comments)</t>
  </si>
  <si>
    <t>Integrated into GP3004 nRF52 Template</t>
  </si>
  <si>
    <t>Integrated into GP5000 nRF52 Template</t>
  </si>
  <si>
    <t>Template Project Integration</t>
  </si>
  <si>
    <t>RB3</t>
  </si>
  <si>
    <t>2B</t>
  </si>
  <si>
    <t>If new optional configuration macros are added, then default values are included in the .c or .h file if required</t>
  </si>
  <si>
    <t>The developer needs to confirm that they have run the module in the aforementioned optimisation levels, however the results provided only need to be for a single optimisation level
In general, for maintenance and for in situ verification the test code only needs to be run once, with the projects default settings</t>
  </si>
  <si>
    <t xml:space="preserve">Functions should have the minimum number of arguments to maximise legibility. When many parameters are used with a function it is reccomended that functions use a struct to improve legibitility  </t>
  </si>
  <si>
    <t>2.10</t>
  </si>
  <si>
    <t>According to the .dox file, has the module been Misra-C Checked?</t>
  </si>
  <si>
    <t>6.5</t>
  </si>
  <si>
    <t>6.6</t>
  </si>
  <si>
    <t>6.7</t>
  </si>
  <si>
    <t>All tests marked as UNIT_TEST_MANAGER__TEST_NOT_TESTABLE are legitimately not testable</t>
  </si>
  <si>
    <t>All tests marked as UNIT_TEST_MANAGER__TEST_USER_CHECK have been tested by the user and evidence has been provided (screenshots / comments "&lt;&lt;&lt; JS User Check Pass" in test results)</t>
  </si>
  <si>
    <t>Comment</t>
  </si>
  <si>
    <t>Determine Module Type (see notes below)</t>
  </si>
  <si>
    <r>
      <t xml:space="preserve">NOTE ON MAINTENANCE TYPES
- </t>
    </r>
    <r>
      <rPr>
        <b/>
        <sz val="9"/>
        <color theme="1"/>
        <rFont val="Arial"/>
        <family val="2"/>
      </rPr>
      <t>Subminor maintenance</t>
    </r>
    <r>
      <rPr>
        <sz val="9"/>
        <color theme="1"/>
        <rFont val="Arial"/>
        <family val="2"/>
      </rPr>
      <t xml:space="preserve"> with No Functional Change (go to 0b)
- </t>
    </r>
    <r>
      <rPr>
        <b/>
        <sz val="9"/>
        <color theme="1"/>
        <rFont val="Arial"/>
        <family val="2"/>
      </rPr>
      <t>Subminor maintenance</t>
    </r>
    <r>
      <rPr>
        <sz val="9"/>
        <color theme="1"/>
        <rFont val="Arial"/>
        <family val="2"/>
      </rPr>
      <t xml:space="preserve"> for bug fixes (go to 1)
- </t>
    </r>
    <r>
      <rPr>
        <b/>
        <sz val="9"/>
        <color theme="1"/>
        <rFont val="Arial"/>
        <family val="2"/>
      </rPr>
      <t>Minor maintenance</t>
    </r>
    <r>
      <rPr>
        <sz val="9"/>
        <color theme="1"/>
        <rFont val="Arial"/>
        <family val="2"/>
      </rPr>
      <t xml:space="preserve"> for backwards compatible new functionality  (go to 0c)
- </t>
    </r>
    <r>
      <rPr>
        <b/>
        <sz val="9"/>
        <color theme="1"/>
        <rFont val="Arial"/>
        <family val="2"/>
      </rPr>
      <t>Major maintenance</t>
    </r>
    <r>
      <rPr>
        <sz val="9"/>
        <color theme="1"/>
        <rFont val="Arial"/>
        <family val="2"/>
      </rPr>
      <t xml:space="preserve"> for non-backwards compatible new functionality (go to 0c)
Subminor maintenance with no functional changes includes:
- Formatting changes
- Commenting changes
- Adding #warning guards to module.c/.h files
- Adding more verbose debug messages in test.c files in order to explain why tests fail or to explain how to do a test.
For further information on SubMinor vs Minor/Major Changes See GD-0008-MAN1 Section 6.1.2 Embedded C Code Versioning
Q:\GD-0008 Genesys Software Design Process\GD-0008-MAN1 Genesys Software Process Manual.pdf</t>
    </r>
  </si>
  <si>
    <t>Fill in file/author/version/date/brief fields in the .dox file (this should be auto populated for Middleware modules)</t>
  </si>
  <si>
    <t xml:space="preserve">Does the module keep within the 100 character per line limit (discretion can be used on .h files to enhance legibility)
</t>
  </si>
  <si>
    <t>All tests pass with evidence captured in relevant folder.
(see tests section of review checklist for details)</t>
  </si>
  <si>
    <t>Update test results and misra results included in the relevant folders</t>
  </si>
  <si>
    <r>
      <rPr>
        <b/>
        <sz val="9"/>
        <color rgb="FF000000"/>
        <rFont val="Arial"/>
        <family val="2"/>
      </rPr>
      <t>MINOR/MAJOR CHANGE ONLY</t>
    </r>
    <r>
      <rPr>
        <sz val="9"/>
        <color rgb="FF000000"/>
        <rFont val="Arial"/>
        <family val="2"/>
      </rPr>
      <t xml:space="preserve">
If required, update test details in Module Requirements and Tests tab file </t>
    </r>
  </si>
  <si>
    <r>
      <rPr>
        <b/>
        <sz val="9"/>
        <color rgb="FF000000"/>
        <rFont val="Arial"/>
        <family val="2"/>
      </rPr>
      <t>MINOR/MAJOR CHANGE ONLY</t>
    </r>
    <r>
      <rPr>
        <sz val="9"/>
        <color rgb="FF000000"/>
        <rFont val="Arial"/>
        <family val="2"/>
      </rPr>
      <t xml:space="preserve">
If changes were made to module requirements, tests or test code, clear and resign the  signoff in in Module Requirements and Tests tab file</t>
    </r>
  </si>
  <si>
    <t xml:space="preserve">15
</t>
  </si>
  <si>
    <t>15a</t>
  </si>
  <si>
    <t>15b</t>
  </si>
  <si>
    <t>15c</t>
  </si>
  <si>
    <t>15d</t>
  </si>
  <si>
    <t>Tested by other test</t>
  </si>
  <si>
    <t>PROVIDE DETAIL HERE</t>
  </si>
  <si>
    <t>can leave blank</t>
  </si>
  <si>
    <t>brief explanation about why code review is appropriate</t>
  </si>
  <si>
    <t>Provide information about what test this requirement is tested by</t>
  </si>
  <si>
    <t>Manual (User Check) Test Code</t>
  </si>
  <si>
    <r>
      <rPr>
        <b/>
        <sz val="9"/>
        <color rgb="FF000000"/>
        <rFont val="Arial"/>
        <family val="2"/>
      </rPr>
      <t>SUB MINOR/MINOR CHANGE ONLY</t>
    </r>
    <r>
      <rPr>
        <sz val="9"/>
        <color rgb="FF000000"/>
        <rFont val="Arial"/>
        <family val="2"/>
      </rPr>
      <t xml:space="preserve">
Considerations for backwards compatibility have been taken </t>
    </r>
  </si>
  <si>
    <r>
      <rPr>
        <b/>
        <sz val="9"/>
        <color rgb="FF000000"/>
        <rFont val="Arial"/>
        <family val="2"/>
      </rPr>
      <t>MAJOR CHANGE ONLY</t>
    </r>
    <r>
      <rPr>
        <sz val="9"/>
        <color rgb="FF000000"/>
        <rFont val="Arial"/>
        <family val="2"/>
      </rPr>
      <t xml:space="preserve">
Inform the relevant teams that the module has undergone a major, non-backwards compatible change. (e.g. through an all staff email)
 </t>
    </r>
  </si>
  <si>
    <t>Test Code</t>
  </si>
  <si>
    <t>AG</t>
  </si>
  <si>
    <t>1-Aug-23</t>
  </si>
  <si>
    <t xml:space="preserve">Code should be defined in the form:
</t>
  </si>
  <si>
    <t>For Generic Sensor, sensors</t>
  </si>
  <si>
    <t>7.5</t>
  </si>
  <si>
    <t>Has an example GenericSensorControllerConfig.c and GenericSensorControllerConfig.h been included in the \AppTemplate\AppModuleConfig\MySensor module?</t>
  </si>
  <si>
    <t>Integrated into GP3004 STM32 Template</t>
  </si>
  <si>
    <t>5.5</t>
  </si>
  <si>
    <t>5.6</t>
  </si>
  <si>
    <t>5.7</t>
  </si>
  <si>
    <t>5.4</t>
  </si>
  <si>
    <t xml:space="preserve">Where appropriate, Error__ReportWithAuxInfo has been used instead of Error__Report
</t>
  </si>
  <si>
    <t xml:space="preserve">Update UnitTestManager.c and .h
a) #define added to .h
b) Add gated #includes to  .c
c) Add the relevent element to TestModulesArray_gro in the correct spot
NOTE - UnitTestManager resides in maintenance as it is regularly modified
The relevant code snippets will be generated by running the script in 1a in the scripts folder </t>
  </si>
  <si>
    <t>Define the function APIs in the .h file, and fill out the doxygen summary of each function (brief, param, return). 
This should go above each function and summarise what the function does. The brief should be fairly comprehensive, and approximately match the module requirements</t>
  </si>
  <si>
    <r>
      <t xml:space="preserve">If the module is used in a template project, the developer should request the template project owner integrates and tests the latest sandbox/maintenance version of the module.
Steps for integration (done by template owner):
1. Update the template project (a branch is reccomended) to use the latest sandbox/maintenance version of the module.
1. Ensure the template project still builds.
2. Ensure the template project is still MISRA clean.
3. Ensure unit tests (excluding user check tests) pass on the template 
4. Ensure template project regression test (if it exists) passes
5. After receiving notification that the module has been released, update the template project
</t>
    </r>
    <r>
      <rPr>
        <b/>
        <sz val="9"/>
        <color rgb="FF000000"/>
        <rFont val="Arial"/>
        <family val="2"/>
      </rPr>
      <t>Based on Module Complexity, Developer or Reviewer may choose to review integration</t>
    </r>
  </si>
  <si>
    <t xml:space="preserve">Do the files module.c/.h, moduleTest.c/.h, and moduleConfig.c/.h include:
- The group they are in
- The file they are
- A reference to the module.dox file
- The copy right banner with the correct year (NOTE - Copy right should not change for maintenance)
</t>
  </si>
  <si>
    <t>Development checklist:
- Add a comment field
- updated point 2, 9, 4, 1b, 1c
Maintenance checklist:
- Add a comment field
- Added drop down + auto format for maintenance type
- Rework and reorder points 7-12, + added a new test, 13
Review checklist:
- modified formatting
- Rearranged and restructured some of the numbers so tests are better grouped
- add 2.10, 5.4, 6.5, 6.6, 6.7, 7.5 requirement
- reword 1.4, 2.1, 3.4
- Remove old 6.4
Test/ requirements tab
- Remove test evidence tab standard tests
- Added additional test type "Tested by other test"</t>
  </si>
  <si>
    <t>Does the module work and Test code passes with optimisation set to -O0 (level 0)</t>
  </si>
  <si>
    <t>Does the module work and Test code passes with optimisation set to -O2 (Optimise more/level 2 balanced)</t>
  </si>
  <si>
    <t>1.9</t>
  </si>
  <si>
    <r>
      <t xml:space="preserve">Developer /Reviewer Comments </t>
    </r>
    <r>
      <rPr>
        <sz val="10"/>
        <color theme="1"/>
        <rFont val="Arial"/>
        <family val="2"/>
      </rPr>
      <t>(should be deleted after actioned and reviewed)</t>
    </r>
  </si>
  <si>
    <t xml:space="preserve">Confirm that all Developer /Reviewer Comments in the Module Requirements and Tests tab are actioned, reviewed and deleted </t>
  </si>
  <si>
    <t>For any tests that require user input, ensure that the tests are appropriately compile switched, and the else case returns the appropriate values (see further information for details)</t>
  </si>
  <si>
    <t>2.11</t>
  </si>
  <si>
    <t>2C</t>
  </si>
  <si>
    <t xml:space="preserve">Whenever an Array is passed ot a function, the length of the array should be included as an argument of the function. If the number of arguments becomes excessive, then a struct should be used. 
</t>
  </si>
  <si>
    <t>If a large number of arguments are passed to a function (~more than 3), then the arguments should be combined into a struct and passed by reference as a constant pointer</t>
  </si>
  <si>
    <t>Functions should have the minimum number of arguments to maximise legibility. When many parameters are used with a function it is reccomended that functions use a struct to improve legibitility.It is best to pass the struct as a const pointer to reduce stack useage.</t>
  </si>
  <si>
    <t>Applicability</t>
  </si>
  <si>
    <t>Test Type</t>
  </si>
  <si>
    <t>Test Acceptance Criteria</t>
  </si>
  <si>
    <t>Result</t>
  </si>
  <si>
    <t>Additional Software Unit Acceptance Criteria Class C [IEC 62304 5.5.4]</t>
  </si>
  <si>
    <t>Unit Acceptance Criteria [IEC 62304 5.5.3]</t>
  </si>
  <si>
    <t>Proper Event Sequencing</t>
  </si>
  <si>
    <t>Data and Control Flow</t>
  </si>
  <si>
    <t>Planned Resource Allocation</t>
  </si>
  <si>
    <t>Fault Handling (Error Definition, isolation and recovery)</t>
  </si>
  <si>
    <t>Initialization of variables</t>
  </si>
  <si>
    <t>Self-diagnostics</t>
  </si>
  <si>
    <t>Memory Management and Memory overflows</t>
  </si>
  <si>
    <t>Boundary Conditions</t>
  </si>
  <si>
    <t>Sanity check that no change is required from the default values</t>
  </si>
  <si>
    <t>This tab is only required when performing in situ SVL verification. 
Delete this comment after performing in situ SVL and remove the highlighting
Class C is only required for Class C projects</t>
  </si>
  <si>
    <t>0d</t>
  </si>
  <si>
    <t>Before starting Maintenance, copy and overwrite this checklist with the latest maintenance checklist from 
http://192.168.159.21/svn/Genesys_Library/GeM_Platform/sandbox/Libraries/AppModules/TemplateModule/Design</t>
  </si>
  <si>
    <t>Ensure that the reviewer has signed off the .dox file before release</t>
  </si>
  <si>
    <t>If this is a revision, does the summary of changes in the .dox file include a link to the relevant jira tickets?</t>
  </si>
  <si>
    <t>7.3</t>
  </si>
  <si>
    <t>7.4</t>
  </si>
  <si>
    <t>7.6</t>
  </si>
  <si>
    <t>7.7</t>
  </si>
  <si>
    <t>7.2</t>
  </si>
  <si>
    <t>Add comment enforcing that the maintenance checklist + review checklist should always be copied freshly for maintenance
Updates to maintenance/review checklist/integration verification
Deleted migration columns in revision history
Minor changes to add clarification to modules</t>
  </si>
  <si>
    <t>Update AppModules.c and .h and config.h
a) Add #define to .h
b) Add String to top half of AppModules__ModuleStringLookup_gro
c) Add number to bottom half of AppModules__ModuleStringLookup_gro
d) Add #define to config.h
NOTE1 - ensure all strings have commas after them.
NOTE2 - Appmodules resides in maintenance as it is regularly modified
NOTE3 - Generic Sensor sensors do not need AppModule to be changed
The relevant chunks of code will be generated by running the script in 1a in the scripts folder</t>
  </si>
  <si>
    <t>Branch the files (config + modules) from sandbox to trunk
(NOTE Commits to trunk must contain version number!)</t>
  </si>
  <si>
    <t>12a</t>
  </si>
  <si>
    <t>12b</t>
  </si>
  <si>
    <t>12c</t>
  </si>
  <si>
    <t>12d</t>
  </si>
  <si>
    <r>
      <rPr>
        <b/>
        <sz val="9"/>
        <color theme="1"/>
        <rFont val="Arial"/>
        <family val="2"/>
      </rPr>
      <t xml:space="preserve">For Minor/Major changes
</t>
    </r>
    <r>
      <rPr>
        <sz val="9"/>
        <color theme="1"/>
        <rFont val="Arial"/>
        <family val="2"/>
      </rPr>
      <t xml:space="preserve">Copy and replace this document's </t>
    </r>
    <r>
      <rPr>
        <b/>
        <sz val="9"/>
        <color theme="1"/>
        <rFont val="Arial"/>
        <family val="2"/>
      </rPr>
      <t>Review checklist</t>
    </r>
    <r>
      <rPr>
        <sz val="9"/>
        <color theme="1"/>
        <rFont val="Arial"/>
        <family val="2"/>
      </rPr>
      <t xml:space="preserve"> from the template at:
http://192.168.159.21/svn/Genesys_Library/GeM_Platform/sandbox/Libraries/AppModules/TemplateModule/Design</t>
    </r>
  </si>
  <si>
    <t>Confirm the trunk has not been updated since branching for maintenance. If the trunk has change, merge from the trunk to the maintenance branch before commencing testing. Ensure that the version numbers are still accurate (relative to the trunk)</t>
  </si>
  <si>
    <r>
      <rPr>
        <b/>
        <sz val="9"/>
        <color theme="1"/>
        <rFont val="Arial"/>
        <family val="2"/>
      </rPr>
      <t>For Subminor maintenance with No Functional Changes ONLY</t>
    </r>
    <r>
      <rPr>
        <sz val="9"/>
        <color theme="1"/>
        <rFont val="Arial"/>
        <family val="2"/>
      </rPr>
      <t xml:space="preserve">
Subminor maintenance with no functional changes can be committed directly to the trunk after an over the shoulder review. Ensure the following are updated in .dox and on the cover sheet are updated:
- Version number
- Reviewer
- Edited by
- Date
NOTE - First line in commit should include version number + justification + senior software sign off</t>
    </r>
  </si>
  <si>
    <r>
      <t xml:space="preserve">OK/Not OK
</t>
    </r>
    <r>
      <rPr>
        <sz val="10"/>
        <color theme="1"/>
        <rFont val="Arial"/>
        <family val="2"/>
      </rPr>
      <t>(add comments if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</si>
</sst>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d\-mmm\-yy;@"/>
  </numFmts>
  <fonts count="20" x14ac:knownFonts="1">
    <font>
      <sz val="11"/>
      <color theme="1"/>
      <name val="Calibri"/>
      <family val="2"/>
      <scheme val="minor"/>
    </font>
    <font>
      <u/>
      <sz val="11"/>
      <color theme="10"/>
      <name val="Calibri"/>
      <family val="2"/>
    </font>
    <font>
      <b/>
      <sz val="18"/>
      <color indexed="18"/>
      <name val="Calibri"/>
      <family val="2"/>
    </font>
    <font>
      <b/>
      <sz val="11"/>
      <color indexed="8"/>
      <name val="Arial"/>
      <family val="2"/>
    </font>
    <font>
      <sz val="10"/>
      <color indexed="8"/>
      <name val="Arial"/>
      <family val="2"/>
    </font>
    <font>
      <b/>
      <sz val="9"/>
      <color rgb="FF000000"/>
      <name val="Arial"/>
      <family val="2"/>
    </font>
    <font>
      <b/>
      <sz val="9"/>
      <color theme="1"/>
      <name val="Arial"/>
      <family val="2"/>
    </font>
    <font>
      <sz val="9"/>
      <color theme="1"/>
      <name val="Arial"/>
      <family val="2"/>
    </font>
    <font>
      <sz val="9"/>
      <color rgb="FF000000"/>
      <name val="Arial"/>
      <family val="2"/>
    </font>
    <font>
      <b/>
      <sz val="9"/>
      <color rgb="FFFF0000"/>
      <name val="Arial"/>
      <family val="2"/>
    </font>
    <font>
      <sz val="10"/>
      <color theme="1"/>
      <name val="Arial"/>
      <family val="2"/>
    </font>
    <font>
      <b/>
      <sz val="10"/>
      <color theme="1"/>
      <name val="Arial"/>
      <family val="2"/>
    </font>
    <font>
      <b/>
      <sz val="10"/>
      <color indexed="8"/>
      <name val="Arial"/>
      <family val="2"/>
    </font>
    <font>
      <i/>
      <sz val="9"/>
      <color rgb="FF000000"/>
      <name val="Arial"/>
      <family val="2"/>
    </font>
    <font>
      <b/>
      <sz val="18"/>
      <color indexed="18"/>
      <name val="Arial"/>
      <family val="2"/>
    </font>
    <font>
      <sz val="11"/>
      <color theme="1"/>
      <name val="Arial"/>
      <family val="2"/>
    </font>
    <font>
      <sz val="11"/>
      <name val="Arial"/>
      <family val="2"/>
    </font>
    <font>
      <sz val="12"/>
      <color theme="1"/>
      <name val="Calibri"/>
      <family val="2"/>
      <scheme val="minor"/>
    </font>
    <font>
      <b/>
      <sz val="14"/>
      <color theme="1"/>
      <name val="Calibri"/>
      <family val="2"/>
      <scheme val="minor"/>
    </font>
    <font>
      <b/>
      <sz val="12"/>
      <color theme="1"/>
      <name val="Calibri"/>
      <family val="2"/>
      <scheme val="minor"/>
    </font>
  </fonts>
  <fills count="14">
    <fill>
      <patternFill patternType="none"/>
    </fill>
    <fill>
      <patternFill patternType="gray125"/>
    </fill>
    <fill>
      <patternFill patternType="solid">
        <fgColor indexed="9"/>
        <bgColor indexed="64"/>
      </patternFill>
    </fill>
    <fill>
      <patternFill patternType="solid">
        <fgColor rgb="FFBDD6EE"/>
        <bgColor indexed="64"/>
      </patternFill>
    </fill>
    <fill>
      <patternFill patternType="solid">
        <fgColor rgb="FFFFC000"/>
        <bgColor indexed="64"/>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9" tint="0.79998168889431442"/>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bottom style="medium">
        <color indexed="64"/>
      </bottom>
      <diagonal/>
    </border>
    <border>
      <left style="medium">
        <color indexed="64"/>
      </left>
      <right/>
      <top/>
      <bottom style="medium">
        <color indexed="64"/>
      </bottom>
      <diagonal/>
    </border>
    <border>
      <left style="hair">
        <color indexed="64"/>
      </left>
      <right style="medium">
        <color indexed="64"/>
      </right>
      <top/>
      <bottom style="medium">
        <color indexed="64"/>
      </bottom>
      <diagonal/>
    </border>
    <border>
      <left/>
      <right/>
      <top/>
      <bottom style="medium">
        <color indexed="64"/>
      </bottom>
      <diagonal/>
    </border>
    <border>
      <left style="medium">
        <color indexed="64"/>
      </left>
      <right style="hair">
        <color indexed="64"/>
      </right>
      <top/>
      <bottom/>
      <diagonal/>
    </border>
    <border>
      <left style="hair">
        <color indexed="64"/>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top style="medium">
        <color indexed="64"/>
      </top>
      <bottom/>
      <diagonal/>
    </border>
    <border>
      <left style="hair">
        <color indexed="64"/>
      </left>
      <right style="thin">
        <color indexed="64"/>
      </right>
      <top style="medium">
        <color indexed="64"/>
      </top>
      <bottom style="medium">
        <color indexed="64"/>
      </bottom>
      <diagonal/>
    </border>
    <border>
      <left style="hair">
        <color indexed="64"/>
      </left>
      <right style="thin">
        <color indexed="64"/>
      </right>
      <top style="hair">
        <color indexed="64"/>
      </top>
      <bottom style="hair">
        <color indexed="64"/>
      </bottom>
      <diagonal/>
    </border>
    <border>
      <left/>
      <right style="medium">
        <color indexed="64"/>
      </right>
      <top style="thin">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hair">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hair">
        <color indexed="64"/>
      </left>
      <right style="medium">
        <color indexed="64"/>
      </right>
      <top/>
      <bottom/>
      <diagonal/>
    </border>
    <border>
      <left/>
      <right style="hair">
        <color indexed="64"/>
      </right>
      <top/>
      <bottom style="hair">
        <color indexed="64"/>
      </bottom>
      <diagonal/>
    </border>
    <border>
      <left/>
      <right/>
      <top/>
      <bottom style="hair">
        <color indexed="64"/>
      </bottom>
      <diagonal/>
    </border>
    <border>
      <left style="medium">
        <color indexed="64"/>
      </left>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hair">
        <color indexed="64"/>
      </right>
      <top/>
      <bottom style="hair">
        <color indexed="64"/>
      </bottom>
      <diagonal/>
    </border>
    <border>
      <left/>
      <right style="thin">
        <color indexed="64"/>
      </right>
      <top/>
      <bottom style="hair">
        <color indexed="64"/>
      </bottom>
      <diagonal/>
    </border>
    <border>
      <left style="medium">
        <color indexed="64"/>
      </left>
      <right/>
      <top style="medium">
        <color indexed="64"/>
      </top>
      <bottom style="hair">
        <color indexed="64"/>
      </bottom>
      <diagonal/>
    </border>
    <border>
      <left style="hair">
        <color indexed="64"/>
      </left>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medium">
        <color indexed="64"/>
      </top>
      <bottom style="hair">
        <color indexed="64"/>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233">
    <xf numFmtId="0" fontId="0" fillId="0" borderId="0" xfId="0"/>
    <xf numFmtId="0" fontId="0" fillId="0" borderId="0" xfId="0" applyAlignment="1">
      <alignment wrapText="1"/>
    </xf>
    <xf numFmtId="0" fontId="1" fillId="0" borderId="0" xfId="1" applyAlignment="1" applyProtection="1"/>
    <xf numFmtId="0" fontId="2" fillId="0" borderId="0" xfId="0" applyFont="1"/>
    <xf numFmtId="0" fontId="3" fillId="0" borderId="0" xfId="0" applyFont="1"/>
    <xf numFmtId="0" fontId="4" fillId="2" borderId="1" xfId="0" applyFont="1" applyFill="1" applyBorder="1" applyAlignment="1">
      <alignment horizontal="right" vertical="top" wrapText="1"/>
    </xf>
    <xf numFmtId="0" fontId="4" fillId="0" borderId="1" xfId="0" applyFont="1" applyBorder="1" applyAlignment="1">
      <alignment horizontal="justify" vertical="top" wrapText="1"/>
    </xf>
    <xf numFmtId="14" fontId="4" fillId="0" borderId="1" xfId="0" applyNumberFormat="1" applyFont="1" applyBorder="1" applyAlignment="1">
      <alignment horizontal="justify" vertical="top" wrapText="1"/>
    </xf>
    <xf numFmtId="0" fontId="5" fillId="3" borderId="4" xfId="0" applyFont="1" applyFill="1" applyBorder="1" applyAlignment="1">
      <alignment vertical="center" wrapText="1"/>
    </xf>
    <xf numFmtId="0" fontId="5" fillId="3" borderId="5" xfId="0" applyFont="1" applyFill="1" applyBorder="1" applyAlignment="1">
      <alignment vertical="center" wrapText="1"/>
    </xf>
    <xf numFmtId="0" fontId="6" fillId="3" borderId="5" xfId="0" applyFont="1" applyFill="1" applyBorder="1" applyAlignment="1">
      <alignment vertical="center" wrapText="1"/>
    </xf>
    <xf numFmtId="0" fontId="6" fillId="4" borderId="6" xfId="0" applyFont="1" applyFill="1" applyBorder="1" applyAlignment="1">
      <alignment vertical="center" wrapText="1"/>
    </xf>
    <xf numFmtId="0" fontId="9" fillId="4" borderId="7" xfId="0" applyFont="1" applyFill="1" applyBorder="1" applyAlignment="1">
      <alignment vertical="center" wrapText="1"/>
    </xf>
    <xf numFmtId="0" fontId="6" fillId="4" borderId="7" xfId="0" applyFont="1" applyFill="1" applyBorder="1" applyAlignment="1">
      <alignment vertical="center" wrapText="1"/>
    </xf>
    <xf numFmtId="0" fontId="7" fillId="0" borderId="6" xfId="0" applyFont="1" applyBorder="1" applyAlignment="1">
      <alignment vertical="center" wrapText="1"/>
    </xf>
    <xf numFmtId="0" fontId="8" fillId="0" borderId="7" xfId="0" applyFont="1" applyBorder="1" applyAlignment="1">
      <alignment vertical="center" wrapText="1"/>
    </xf>
    <xf numFmtId="0" fontId="7" fillId="0" borderId="7" xfId="0" applyFont="1" applyBorder="1" applyAlignment="1">
      <alignment vertical="center" wrapText="1"/>
    </xf>
    <xf numFmtId="0" fontId="10" fillId="0" borderId="0" xfId="0" applyFont="1"/>
    <xf numFmtId="0" fontId="10" fillId="0" borderId="0" xfId="0" applyFont="1" applyAlignment="1">
      <alignment vertical="top"/>
    </xf>
    <xf numFmtId="164" fontId="10" fillId="0" borderId="0" xfId="0" applyNumberFormat="1" applyFont="1" applyAlignment="1">
      <alignment vertical="top"/>
    </xf>
    <xf numFmtId="0" fontId="11" fillId="0" borderId="11" xfId="0" applyFont="1" applyBorder="1" applyAlignment="1">
      <alignment horizontal="center" vertical="top" wrapText="1"/>
    </xf>
    <xf numFmtId="0" fontId="11" fillId="0" borderId="10" xfId="0" applyFont="1" applyBorder="1" applyAlignment="1">
      <alignment horizontal="center" vertical="top" wrapText="1"/>
    </xf>
    <xf numFmtId="0" fontId="11" fillId="0" borderId="12" xfId="0" applyFont="1" applyBorder="1" applyAlignment="1">
      <alignment horizontal="center" vertical="top" wrapText="1"/>
    </xf>
    <xf numFmtId="0" fontId="11" fillId="0" borderId="13" xfId="0" applyFont="1" applyBorder="1" applyAlignment="1">
      <alignment horizontal="center" vertical="top" wrapText="1"/>
    </xf>
    <xf numFmtId="0" fontId="10" fillId="0" borderId="16" xfId="0" applyFont="1" applyBorder="1" applyAlignment="1">
      <alignment vertical="top" wrapText="1"/>
    </xf>
    <xf numFmtId="0" fontId="7" fillId="0" borderId="6" xfId="0" applyFont="1" applyBorder="1" applyAlignment="1">
      <alignment horizontal="left" vertical="center" wrapText="1"/>
    </xf>
    <xf numFmtId="0" fontId="7" fillId="5" borderId="7" xfId="0" applyFont="1" applyFill="1" applyBorder="1" applyAlignment="1">
      <alignment vertical="center" wrapText="1"/>
    </xf>
    <xf numFmtId="0" fontId="8" fillId="5" borderId="7" xfId="0" applyFont="1" applyFill="1" applyBorder="1" applyAlignment="1">
      <alignment vertical="center" wrapText="1"/>
    </xf>
    <xf numFmtId="0" fontId="7" fillId="5" borderId="6" xfId="0" applyFont="1" applyFill="1" applyBorder="1" applyAlignment="1">
      <alignment vertical="center" wrapText="1"/>
    </xf>
    <xf numFmtId="0" fontId="7" fillId="5" borderId="6" xfId="0" applyFont="1" applyFill="1" applyBorder="1" applyAlignment="1">
      <alignment horizontal="left" vertical="center" wrapText="1"/>
    </xf>
    <xf numFmtId="0" fontId="6" fillId="6" borderId="6" xfId="0" applyFont="1" applyFill="1" applyBorder="1" applyAlignment="1">
      <alignment vertical="center" wrapText="1"/>
    </xf>
    <xf numFmtId="0" fontId="9" fillId="6" borderId="7" xfId="0" applyFont="1" applyFill="1" applyBorder="1" applyAlignment="1">
      <alignment vertical="center" wrapText="1"/>
    </xf>
    <xf numFmtId="0" fontId="7" fillId="0" borderId="0" xfId="0" applyFont="1"/>
    <xf numFmtId="0" fontId="7" fillId="0" borderId="1" xfId="0" applyFont="1" applyBorder="1"/>
    <xf numFmtId="0" fontId="7" fillId="0" borderId="1" xfId="0" applyFont="1" applyBorder="1" applyAlignment="1">
      <alignment wrapText="1"/>
    </xf>
    <xf numFmtId="0" fontId="7" fillId="0" borderId="23" xfId="0" applyFont="1" applyBorder="1" applyAlignment="1">
      <alignment wrapText="1"/>
    </xf>
    <xf numFmtId="0" fontId="0" fillId="0" borderId="23" xfId="0" applyBorder="1" applyAlignment="1">
      <alignment wrapText="1"/>
    </xf>
    <xf numFmtId="0" fontId="14" fillId="0" borderId="0" xfId="0" applyFont="1"/>
    <xf numFmtId="0" fontId="15" fillId="0" borderId="0" xfId="0" applyFont="1" applyAlignment="1">
      <alignment horizontal="center"/>
    </xf>
    <xf numFmtId="0" fontId="15" fillId="0" borderId="0" xfId="0" applyFont="1"/>
    <xf numFmtId="0" fontId="12" fillId="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49" fontId="16" fillId="0" borderId="1" xfId="0" applyNumberFormat="1" applyFont="1" applyBorder="1" applyAlignment="1">
      <alignment horizontal="center" vertical="center" wrapText="1"/>
    </xf>
    <xf numFmtId="49" fontId="16" fillId="0" borderId="1" xfId="0" applyNumberFormat="1" applyFont="1" applyBorder="1" applyAlignment="1">
      <alignment horizontal="left" vertical="center" wrapText="1"/>
    </xf>
    <xf numFmtId="0" fontId="11" fillId="0" borderId="20" xfId="0" applyFont="1" applyBorder="1"/>
    <xf numFmtId="0" fontId="10" fillId="0" borderId="22" xfId="0" applyFont="1" applyBorder="1" applyAlignment="1">
      <alignment horizontal="left" vertical="top" wrapText="1"/>
    </xf>
    <xf numFmtId="0" fontId="11" fillId="0" borderId="22" xfId="0" applyFont="1" applyBorder="1"/>
    <xf numFmtId="0" fontId="11" fillId="0" borderId="26" xfId="0" applyFont="1" applyBorder="1"/>
    <xf numFmtId="0" fontId="6" fillId="0" borderId="37" xfId="0" applyFont="1" applyBorder="1" applyAlignment="1">
      <alignment horizontal="center" wrapText="1"/>
    </xf>
    <xf numFmtId="0" fontId="7" fillId="0" borderId="36" xfId="0" applyFont="1" applyBorder="1" applyAlignment="1">
      <alignment horizontal="left" wrapText="1"/>
    </xf>
    <xf numFmtId="0" fontId="8" fillId="9" borderId="7" xfId="0" applyFont="1" applyFill="1" applyBorder="1" applyAlignment="1">
      <alignment vertical="center" wrapText="1"/>
    </xf>
    <xf numFmtId="49" fontId="16" fillId="0" borderId="31" xfId="0" applyNumberFormat="1" applyFont="1" applyBorder="1" applyAlignment="1">
      <alignment horizontal="center" vertical="center" wrapText="1"/>
    </xf>
    <xf numFmtId="0" fontId="0" fillId="0" borderId="38" xfId="0" applyBorder="1" applyAlignment="1">
      <alignment wrapText="1"/>
    </xf>
    <xf numFmtId="49" fontId="16" fillId="0" borderId="31" xfId="0" applyNumberFormat="1" applyFont="1" applyBorder="1" applyAlignment="1">
      <alignment vertical="center" wrapText="1"/>
    </xf>
    <xf numFmtId="49" fontId="10" fillId="0" borderId="17" xfId="0" applyNumberFormat="1" applyFont="1" applyBorder="1" applyAlignment="1">
      <alignment vertical="top" wrapText="1"/>
    </xf>
    <xf numFmtId="0" fontId="10" fillId="0" borderId="39" xfId="0" applyFont="1" applyBorder="1" applyAlignment="1">
      <alignment vertical="top" wrapText="1"/>
    </xf>
    <xf numFmtId="14" fontId="10" fillId="0" borderId="40" xfId="0" applyNumberFormat="1" applyFont="1" applyBorder="1" applyAlignment="1">
      <alignment vertical="top" wrapText="1"/>
    </xf>
    <xf numFmtId="14" fontId="10" fillId="0" borderId="15" xfId="0" applyNumberFormat="1" applyFont="1" applyBorder="1" applyAlignment="1">
      <alignment vertical="top" wrapText="1"/>
    </xf>
    <xf numFmtId="0" fontId="11" fillId="0" borderId="42" xfId="0" applyFont="1" applyBorder="1" applyAlignment="1">
      <alignment horizontal="center" vertical="top" wrapText="1"/>
    </xf>
    <xf numFmtId="14" fontId="10" fillId="0" borderId="43" xfId="0" applyNumberFormat="1" applyFont="1" applyBorder="1" applyAlignment="1">
      <alignment vertical="top" wrapText="1"/>
    </xf>
    <xf numFmtId="0" fontId="10" fillId="0" borderId="26" xfId="0" applyFont="1" applyBorder="1"/>
    <xf numFmtId="0" fontId="10" fillId="0" borderId="22" xfId="0" applyFont="1" applyBorder="1"/>
    <xf numFmtId="0" fontId="10" fillId="8" borderId="1" xfId="0" applyFont="1" applyFill="1" applyBorder="1" applyAlignment="1">
      <alignment vertical="top"/>
    </xf>
    <xf numFmtId="0" fontId="10" fillId="8" borderId="23" xfId="0" applyFont="1" applyFill="1" applyBorder="1" applyAlignment="1">
      <alignment vertical="top"/>
    </xf>
    <xf numFmtId="0" fontId="10" fillId="8" borderId="27" xfId="0" applyFont="1" applyFill="1" applyBorder="1" applyAlignment="1">
      <alignment vertical="top"/>
    </xf>
    <xf numFmtId="0" fontId="10" fillId="8" borderId="28" xfId="0" applyFont="1" applyFill="1" applyBorder="1" applyAlignment="1">
      <alignment vertical="top"/>
    </xf>
    <xf numFmtId="49" fontId="10" fillId="0" borderId="14" xfId="0" applyNumberFormat="1" applyFont="1" applyBorder="1" applyAlignment="1">
      <alignment vertical="top" wrapText="1"/>
    </xf>
    <xf numFmtId="0" fontId="10" fillId="0" borderId="18" xfId="0" applyFont="1" applyBorder="1" applyAlignment="1">
      <alignment vertical="top" wrapText="1"/>
    </xf>
    <xf numFmtId="0" fontId="11" fillId="0" borderId="9" xfId="0" applyFont="1" applyBorder="1" applyAlignment="1">
      <alignment vertical="top" wrapText="1"/>
    </xf>
    <xf numFmtId="49" fontId="11" fillId="0" borderId="45" xfId="0" applyNumberFormat="1" applyFont="1" applyBorder="1" applyAlignment="1">
      <alignment vertical="top" wrapText="1"/>
    </xf>
    <xf numFmtId="0" fontId="10" fillId="8" borderId="24" xfId="0" applyFont="1" applyFill="1" applyBorder="1"/>
    <xf numFmtId="14" fontId="10" fillId="7" borderId="47" xfId="0" applyNumberFormat="1" applyFont="1" applyFill="1" applyBorder="1" applyAlignment="1">
      <alignment vertical="top" wrapText="1"/>
    </xf>
    <xf numFmtId="14" fontId="10" fillId="7" borderId="40" xfId="0" applyNumberFormat="1" applyFont="1" applyFill="1" applyBorder="1" applyAlignment="1">
      <alignment vertical="top" wrapText="1"/>
    </xf>
    <xf numFmtId="14" fontId="11" fillId="7" borderId="40" xfId="0" applyNumberFormat="1" applyFont="1" applyFill="1" applyBorder="1" applyAlignment="1">
      <alignment vertical="top" wrapText="1"/>
    </xf>
    <xf numFmtId="0" fontId="11" fillId="0" borderId="46" xfId="0" applyFont="1" applyBorder="1" applyAlignment="1">
      <alignment vertical="top" wrapText="1"/>
    </xf>
    <xf numFmtId="0" fontId="10" fillId="0" borderId="21" xfId="0" applyFont="1" applyBorder="1" applyAlignment="1">
      <alignment wrapText="1"/>
    </xf>
    <xf numFmtId="0" fontId="10" fillId="0" borderId="24" xfId="0" applyFont="1" applyBorder="1" applyAlignment="1">
      <alignment horizontal="left" vertical="top"/>
    </xf>
    <xf numFmtId="0" fontId="11" fillId="0" borderId="8" xfId="0" applyFont="1" applyBorder="1" applyAlignment="1">
      <alignment horizontal="center"/>
    </xf>
    <xf numFmtId="0" fontId="11" fillId="0" borderId="5" xfId="0" applyFont="1" applyBorder="1" applyAlignment="1">
      <alignment horizontal="center"/>
    </xf>
    <xf numFmtId="0" fontId="7" fillId="0" borderId="31" xfId="0" applyFont="1" applyBorder="1" applyAlignment="1">
      <alignment wrapText="1"/>
    </xf>
    <xf numFmtId="0" fontId="7" fillId="0" borderId="29" xfId="0" applyFont="1" applyBorder="1" applyAlignment="1">
      <alignment wrapText="1"/>
    </xf>
    <xf numFmtId="0" fontId="7" fillId="0" borderId="4" xfId="0" applyFont="1" applyBorder="1" applyAlignment="1">
      <alignment horizontal="left" vertical="center" wrapText="1"/>
    </xf>
    <xf numFmtId="0" fontId="8" fillId="0" borderId="5" xfId="0" applyFont="1" applyBorder="1" applyAlignment="1">
      <alignment vertical="center" wrapText="1"/>
    </xf>
    <xf numFmtId="0" fontId="6" fillId="4" borderId="9" xfId="0" applyFont="1" applyFill="1" applyBorder="1" applyAlignment="1">
      <alignment vertical="center" wrapText="1"/>
    </xf>
    <xf numFmtId="0" fontId="6" fillId="4" borderId="5" xfId="0" applyFont="1" applyFill="1" applyBorder="1" applyAlignment="1">
      <alignment vertical="center" wrapText="1"/>
    </xf>
    <xf numFmtId="0" fontId="5" fillId="5" borderId="8" xfId="0" applyFont="1" applyFill="1" applyBorder="1" applyAlignment="1">
      <alignment vertical="center" wrapText="1"/>
    </xf>
    <xf numFmtId="0" fontId="5" fillId="5" borderId="9" xfId="0" applyFont="1" applyFill="1" applyBorder="1" applyAlignment="1">
      <alignment vertical="center" wrapText="1"/>
    </xf>
    <xf numFmtId="0" fontId="5" fillId="5" borderId="5" xfId="0" applyFont="1" applyFill="1" applyBorder="1" applyAlignment="1">
      <alignment vertical="center" wrapText="1"/>
    </xf>
    <xf numFmtId="0" fontId="6" fillId="5" borderId="9" xfId="0" applyFont="1" applyFill="1" applyBorder="1" applyAlignment="1">
      <alignment vertical="center" wrapText="1"/>
    </xf>
    <xf numFmtId="0" fontId="7" fillId="0" borderId="48" xfId="0" applyFont="1" applyBorder="1" applyAlignment="1">
      <alignment horizontal="left" vertical="center" wrapText="1"/>
    </xf>
    <xf numFmtId="0" fontId="8" fillId="0" borderId="49" xfId="0" applyFont="1" applyBorder="1" applyAlignment="1">
      <alignment vertical="center" wrapText="1"/>
    </xf>
    <xf numFmtId="0" fontId="8" fillId="5" borderId="49" xfId="0" applyFont="1" applyFill="1" applyBorder="1" applyAlignment="1">
      <alignment vertical="center" wrapText="1"/>
    </xf>
    <xf numFmtId="0" fontId="9" fillId="6" borderId="13" xfId="0" applyFont="1" applyFill="1" applyBorder="1" applyAlignment="1">
      <alignment vertical="center" wrapText="1"/>
    </xf>
    <xf numFmtId="0" fontId="6" fillId="6" borderId="8" xfId="0" applyFont="1" applyFill="1" applyBorder="1" applyAlignment="1">
      <alignment vertical="center" wrapText="1"/>
    </xf>
    <xf numFmtId="0" fontId="6" fillId="6" borderId="4" xfId="0" applyFont="1" applyFill="1" applyBorder="1" applyAlignment="1">
      <alignment vertical="center" wrapText="1"/>
    </xf>
    <xf numFmtId="0" fontId="6" fillId="4" borderId="2" xfId="0" applyFont="1" applyFill="1" applyBorder="1" applyAlignment="1">
      <alignment wrapText="1"/>
    </xf>
    <xf numFmtId="0" fontId="6" fillId="4" borderId="3" xfId="0" applyFont="1" applyFill="1" applyBorder="1" applyAlignment="1">
      <alignment wrapText="1"/>
    </xf>
    <xf numFmtId="0" fontId="6" fillId="4" borderId="24" xfId="0" applyFont="1" applyFill="1" applyBorder="1" applyAlignment="1">
      <alignment wrapText="1"/>
    </xf>
    <xf numFmtId="49" fontId="10" fillId="10" borderId="17" xfId="0" applyNumberFormat="1" applyFont="1" applyFill="1" applyBorder="1" applyAlignment="1">
      <alignment vertical="top" wrapText="1"/>
    </xf>
    <xf numFmtId="0" fontId="10" fillId="10" borderId="16" xfId="0" applyFont="1" applyFill="1" applyBorder="1" applyAlignment="1">
      <alignment vertical="top" wrapText="1"/>
    </xf>
    <xf numFmtId="0" fontId="10" fillId="10" borderId="39" xfId="0" applyFont="1" applyFill="1" applyBorder="1" applyAlignment="1">
      <alignment vertical="top" wrapText="1"/>
    </xf>
    <xf numFmtId="14" fontId="10" fillId="10" borderId="43" xfId="0" applyNumberFormat="1" applyFont="1" applyFill="1" applyBorder="1" applyAlignment="1">
      <alignment vertical="top" wrapText="1"/>
    </xf>
    <xf numFmtId="14" fontId="10" fillId="10" borderId="15" xfId="0" applyNumberFormat="1" applyFont="1" applyFill="1" applyBorder="1" applyAlignment="1">
      <alignment vertical="top" wrapText="1"/>
    </xf>
    <xf numFmtId="14" fontId="10" fillId="10" borderId="40" xfId="0" applyNumberFormat="1" applyFont="1" applyFill="1" applyBorder="1" applyAlignment="1">
      <alignment vertical="top" wrapText="1"/>
    </xf>
    <xf numFmtId="49" fontId="10" fillId="0" borderId="38" xfId="0" applyNumberFormat="1" applyFont="1" applyBorder="1" applyAlignment="1">
      <alignment vertical="top" wrapText="1"/>
    </xf>
    <xf numFmtId="49" fontId="10" fillId="0" borderId="50" xfId="0" applyNumberFormat="1" applyFont="1" applyBorder="1" applyAlignment="1">
      <alignment vertical="top" wrapText="1"/>
    </xf>
    <xf numFmtId="0" fontId="10" fillId="0" borderId="51" xfId="0" applyFont="1" applyBorder="1" applyAlignment="1">
      <alignment vertical="top" wrapText="1"/>
    </xf>
    <xf numFmtId="0" fontId="10" fillId="7" borderId="0" xfId="0" applyFont="1" applyFill="1"/>
    <xf numFmtId="0" fontId="10" fillId="8" borderId="44" xfId="0" applyFont="1" applyFill="1" applyBorder="1"/>
    <xf numFmtId="0" fontId="10" fillId="0" borderId="52" xfId="0" applyFont="1" applyBorder="1" applyAlignment="1">
      <alignment vertical="top" wrapText="1"/>
    </xf>
    <xf numFmtId="0" fontId="10" fillId="0" borderId="53" xfId="0" applyFont="1" applyBorder="1" applyAlignment="1">
      <alignment vertical="top" wrapText="1"/>
    </xf>
    <xf numFmtId="0" fontId="10" fillId="0" borderId="54" xfId="0" applyFont="1" applyBorder="1" applyAlignment="1">
      <alignment vertical="top" wrapText="1"/>
    </xf>
    <xf numFmtId="0" fontId="10" fillId="0" borderId="55" xfId="0" applyFont="1" applyBorder="1" applyAlignment="1">
      <alignment vertical="top" wrapText="1"/>
    </xf>
    <xf numFmtId="14" fontId="10" fillId="0" borderId="56" xfId="0" applyNumberFormat="1" applyFont="1" applyBorder="1" applyAlignment="1">
      <alignment vertical="top" wrapText="1"/>
    </xf>
    <xf numFmtId="14" fontId="10" fillId="0" borderId="57" xfId="0" applyNumberFormat="1" applyFont="1" applyBorder="1" applyAlignment="1">
      <alignment vertical="top" wrapText="1"/>
    </xf>
    <xf numFmtId="14" fontId="10" fillId="0" borderId="58" xfId="0" applyNumberFormat="1" applyFont="1" applyBorder="1" applyAlignment="1">
      <alignment vertical="top" wrapText="1"/>
    </xf>
    <xf numFmtId="14" fontId="10" fillId="0" borderId="59" xfId="0" applyNumberFormat="1" applyFont="1" applyBorder="1" applyAlignment="1">
      <alignment vertical="top" wrapText="1"/>
    </xf>
    <xf numFmtId="0" fontId="10" fillId="0" borderId="47" xfId="0" applyFont="1" applyBorder="1" applyAlignment="1">
      <alignment vertical="top" wrapText="1"/>
    </xf>
    <xf numFmtId="49" fontId="11" fillId="12" borderId="60" xfId="0" applyNumberFormat="1" applyFont="1" applyFill="1" applyBorder="1" applyAlignment="1">
      <alignment vertical="top" wrapText="1"/>
    </xf>
    <xf numFmtId="0" fontId="11" fillId="12" borderId="61" xfId="0" applyFont="1" applyFill="1" applyBorder="1" applyAlignment="1">
      <alignment vertical="top" wrapText="1"/>
    </xf>
    <xf numFmtId="0" fontId="10" fillId="12" borderId="62" xfId="0" applyFont="1" applyFill="1" applyBorder="1" applyAlignment="1">
      <alignment vertical="top" wrapText="1"/>
    </xf>
    <xf numFmtId="0" fontId="11" fillId="12" borderId="63" xfId="0" applyFont="1" applyFill="1" applyBorder="1" applyAlignment="1">
      <alignment vertical="top" wrapText="1"/>
    </xf>
    <xf numFmtId="0" fontId="11" fillId="12" borderId="60" xfId="0" applyFont="1" applyFill="1" applyBorder="1" applyAlignment="1">
      <alignment horizontal="center" vertical="top" wrapText="1"/>
    </xf>
    <xf numFmtId="0" fontId="11" fillId="12" borderId="64" xfId="0" applyFont="1" applyFill="1" applyBorder="1" applyAlignment="1">
      <alignment horizontal="center" vertical="top" wrapText="1"/>
    </xf>
    <xf numFmtId="0" fontId="11" fillId="12" borderId="63" xfId="0" applyFont="1" applyFill="1" applyBorder="1" applyAlignment="1">
      <alignment horizontal="center" vertical="top" wrapText="1"/>
    </xf>
    <xf numFmtId="0" fontId="11" fillId="12" borderId="65" xfId="0" applyFont="1" applyFill="1" applyBorder="1" applyAlignment="1">
      <alignment horizontal="center" vertical="top" wrapText="1"/>
    </xf>
    <xf numFmtId="0" fontId="11" fillId="12" borderId="61" xfId="0" applyFont="1" applyFill="1" applyBorder="1" applyAlignment="1">
      <alignment horizontal="center" vertical="top" wrapText="1"/>
    </xf>
    <xf numFmtId="0" fontId="11" fillId="12" borderId="66" xfId="0" applyFont="1" applyFill="1" applyBorder="1" applyAlignment="1">
      <alignment horizontal="center" vertical="top" wrapText="1"/>
    </xf>
    <xf numFmtId="0" fontId="8" fillId="5" borderId="5" xfId="0" applyFont="1" applyFill="1" applyBorder="1" applyAlignment="1">
      <alignment vertical="center" wrapText="1"/>
    </xf>
    <xf numFmtId="0" fontId="5" fillId="0" borderId="9" xfId="0" applyFont="1" applyBorder="1" applyAlignment="1">
      <alignment vertical="center" wrapText="1"/>
    </xf>
    <xf numFmtId="0" fontId="6" fillId="0" borderId="9" xfId="0" applyFont="1" applyBorder="1" applyAlignment="1">
      <alignment vertical="center" wrapText="1"/>
    </xf>
    <xf numFmtId="0" fontId="5" fillId="0" borderId="67" xfId="0" applyFont="1" applyBorder="1" applyAlignment="1">
      <alignment horizontal="left" vertical="center" wrapText="1"/>
    </xf>
    <xf numFmtId="0" fontId="7" fillId="0" borderId="68" xfId="0" applyFont="1" applyBorder="1" applyAlignment="1">
      <alignment horizontal="left" vertical="center" wrapText="1"/>
    </xf>
    <xf numFmtId="0" fontId="7" fillId="5" borderId="68" xfId="0" applyFont="1" applyFill="1" applyBorder="1" applyAlignment="1">
      <alignment horizontal="left" vertical="center" wrapText="1"/>
    </xf>
    <xf numFmtId="0" fontId="6" fillId="5" borderId="68" xfId="0" applyFont="1" applyFill="1" applyBorder="1" applyAlignment="1">
      <alignment horizontal="left" vertical="center" wrapText="1"/>
    </xf>
    <xf numFmtId="0" fontId="7" fillId="0" borderId="69" xfId="0" applyFont="1" applyBorder="1" applyAlignment="1">
      <alignment horizontal="left" vertical="center" wrapText="1"/>
    </xf>
    <xf numFmtId="0" fontId="10" fillId="0" borderId="24" xfId="0" applyFont="1" applyBorder="1"/>
    <xf numFmtId="0" fontId="8" fillId="5" borderId="9" xfId="0" applyFont="1" applyFill="1" applyBorder="1" applyAlignment="1">
      <alignment vertical="center" wrapText="1"/>
    </xf>
    <xf numFmtId="0" fontId="7" fillId="0" borderId="31" xfId="0" applyFont="1" applyBorder="1"/>
    <xf numFmtId="0" fontId="0" fillId="0" borderId="29" xfId="0" applyBorder="1" applyAlignment="1">
      <alignment wrapText="1"/>
    </xf>
    <xf numFmtId="0" fontId="0" fillId="0" borderId="19" xfId="0" applyBorder="1" applyAlignment="1">
      <alignment wrapText="1"/>
    </xf>
    <xf numFmtId="0" fontId="0" fillId="0" borderId="19" xfId="0" applyBorder="1"/>
    <xf numFmtId="0" fontId="6" fillId="4" borderId="71" xfId="0" applyFont="1" applyFill="1" applyBorder="1"/>
    <xf numFmtId="0" fontId="6" fillId="4" borderId="71" xfId="0" applyFont="1" applyFill="1" applyBorder="1" applyAlignment="1">
      <alignment wrapText="1"/>
    </xf>
    <xf numFmtId="0" fontId="6" fillId="4" borderId="44" xfId="0" applyFont="1" applyFill="1" applyBorder="1"/>
    <xf numFmtId="0" fontId="6" fillId="13" borderId="3" xfId="0" applyFont="1" applyFill="1" applyBorder="1"/>
    <xf numFmtId="0" fontId="6" fillId="13" borderId="3" xfId="0" applyFont="1" applyFill="1" applyBorder="1" applyAlignment="1">
      <alignment wrapText="1"/>
    </xf>
    <xf numFmtId="0" fontId="6" fillId="13" borderId="24" xfId="0" applyFont="1" applyFill="1" applyBorder="1"/>
    <xf numFmtId="49" fontId="7" fillId="0" borderId="22" xfId="0" applyNumberFormat="1" applyFont="1" applyBorder="1" applyAlignment="1">
      <alignment horizontal="right"/>
    </xf>
    <xf numFmtId="49" fontId="5" fillId="3" borderId="4" xfId="0" applyNumberFormat="1" applyFont="1" applyFill="1" applyBorder="1" applyAlignment="1">
      <alignment horizontal="right" vertical="center" wrapText="1"/>
    </xf>
    <xf numFmtId="49" fontId="6" fillId="4" borderId="34" xfId="0" applyNumberFormat="1" applyFont="1" applyFill="1" applyBorder="1" applyAlignment="1">
      <alignment horizontal="right"/>
    </xf>
    <xf numFmtId="49" fontId="7" fillId="0" borderId="34" xfId="0" applyNumberFormat="1" applyFont="1" applyBorder="1" applyAlignment="1">
      <alignment horizontal="right"/>
    </xf>
    <xf numFmtId="49" fontId="7" fillId="0" borderId="35" xfId="0" applyNumberFormat="1" applyFont="1" applyBorder="1" applyAlignment="1">
      <alignment horizontal="right"/>
    </xf>
    <xf numFmtId="49" fontId="0" fillId="0" borderId="41" xfId="0" applyNumberFormat="1" applyBorder="1" applyAlignment="1">
      <alignment horizontal="right"/>
    </xf>
    <xf numFmtId="49" fontId="0" fillId="0" borderId="38" xfId="0" applyNumberFormat="1" applyBorder="1" applyAlignment="1">
      <alignment horizontal="right"/>
    </xf>
    <xf numFmtId="49" fontId="0" fillId="0" borderId="0" xfId="0" applyNumberFormat="1" applyAlignment="1">
      <alignment horizontal="right"/>
    </xf>
    <xf numFmtId="0" fontId="10" fillId="0" borderId="4" xfId="0" applyFont="1" applyBorder="1" applyAlignment="1">
      <alignment vertical="top" wrapText="1"/>
    </xf>
    <xf numFmtId="0" fontId="7" fillId="5" borderId="4" xfId="0" applyFont="1" applyFill="1" applyBorder="1" applyAlignment="1">
      <alignment horizontal="left" vertical="center" wrapText="1"/>
    </xf>
    <xf numFmtId="0" fontId="8" fillId="10" borderId="7" xfId="0" applyFont="1" applyFill="1" applyBorder="1" applyAlignment="1">
      <alignment vertical="center" wrapText="1"/>
    </xf>
    <xf numFmtId="0" fontId="8" fillId="10" borderId="49" xfId="0" applyFont="1" applyFill="1" applyBorder="1" applyAlignment="1">
      <alignment vertical="center" wrapText="1"/>
    </xf>
    <xf numFmtId="0" fontId="8" fillId="10" borderId="4" xfId="0" applyFont="1" applyFill="1" applyBorder="1" applyAlignment="1">
      <alignment vertical="center" wrapText="1"/>
    </xf>
    <xf numFmtId="0" fontId="8" fillId="10" borderId="5" xfId="0" applyFont="1" applyFill="1" applyBorder="1" applyAlignment="1">
      <alignment vertical="center" wrapText="1"/>
    </xf>
    <xf numFmtId="14" fontId="16" fillId="0" borderId="31" xfId="0" applyNumberFormat="1" applyFont="1" applyBorder="1" applyAlignment="1">
      <alignment horizontal="center" vertical="center" wrapText="1"/>
    </xf>
    <xf numFmtId="0" fontId="8" fillId="5" borderId="4" xfId="0" applyFont="1" applyFill="1" applyBorder="1" applyAlignment="1">
      <alignment vertical="center" wrapText="1"/>
    </xf>
    <xf numFmtId="0" fontId="11" fillId="4" borderId="9" xfId="0" applyFont="1" applyFill="1" applyBorder="1" applyAlignment="1">
      <alignment horizontal="left"/>
    </xf>
    <xf numFmtId="0" fontId="10" fillId="0" borderId="20" xfId="0" applyFont="1" applyBorder="1"/>
    <xf numFmtId="0" fontId="11" fillId="0" borderId="73" xfId="0" applyFont="1" applyBorder="1" applyAlignment="1">
      <alignment vertical="top"/>
    </xf>
    <xf numFmtId="0" fontId="11" fillId="0" borderId="74" xfId="0" applyFont="1" applyBorder="1" applyAlignment="1">
      <alignment vertical="top"/>
    </xf>
    <xf numFmtId="0" fontId="11" fillId="0" borderId="75" xfId="0" applyFont="1" applyBorder="1" applyAlignment="1">
      <alignment vertical="top"/>
    </xf>
    <xf numFmtId="0" fontId="10" fillId="8" borderId="33" xfId="0" applyFont="1" applyFill="1" applyBorder="1" applyAlignment="1">
      <alignment vertical="top"/>
    </xf>
    <xf numFmtId="14" fontId="10" fillId="8" borderId="33" xfId="0" applyNumberFormat="1" applyFont="1" applyFill="1" applyBorder="1" applyAlignment="1">
      <alignment vertical="top"/>
    </xf>
    <xf numFmtId="0" fontId="11" fillId="0" borderId="73" xfId="0" applyFont="1" applyBorder="1"/>
    <xf numFmtId="0" fontId="10" fillId="0" borderId="20" xfId="0" applyFont="1" applyBorder="1" applyAlignment="1">
      <alignment wrapText="1"/>
    </xf>
    <xf numFmtId="14" fontId="10" fillId="8" borderId="32" xfId="0" applyNumberFormat="1" applyFont="1" applyFill="1" applyBorder="1" applyAlignment="1">
      <alignment vertical="top"/>
    </xf>
    <xf numFmtId="0" fontId="0" fillId="8" borderId="33" xfId="0" applyFill="1" applyBorder="1"/>
    <xf numFmtId="0" fontId="0" fillId="8" borderId="32" xfId="0" applyFill="1" applyBorder="1"/>
    <xf numFmtId="0" fontId="0" fillId="8" borderId="1" xfId="0" applyFill="1" applyBorder="1"/>
    <xf numFmtId="0" fontId="0" fillId="8" borderId="23" xfId="0" applyFill="1" applyBorder="1"/>
    <xf numFmtId="0" fontId="0" fillId="8" borderId="27" xfId="0" applyFill="1" applyBorder="1"/>
    <xf numFmtId="0" fontId="0" fillId="8" borderId="28" xfId="0" applyFill="1" applyBorder="1"/>
    <xf numFmtId="0" fontId="11" fillId="12" borderId="77" xfId="0" applyFont="1" applyFill="1" applyBorder="1" applyAlignment="1">
      <alignment horizontal="center" vertical="top" wrapText="1"/>
    </xf>
    <xf numFmtId="0" fontId="10" fillId="0" borderId="78" xfId="0" applyFont="1" applyBorder="1" applyAlignment="1">
      <alignment vertical="top" wrapText="1"/>
    </xf>
    <xf numFmtId="0" fontId="10" fillId="0" borderId="79" xfId="0" applyFont="1" applyBorder="1" applyAlignment="1">
      <alignment vertical="top" wrapText="1"/>
    </xf>
    <xf numFmtId="0" fontId="10" fillId="10" borderId="79" xfId="0" applyFont="1" applyFill="1" applyBorder="1" applyAlignment="1">
      <alignment vertical="top" wrapText="1"/>
    </xf>
    <xf numFmtId="0" fontId="6" fillId="0" borderId="4" xfId="0" applyFont="1" applyBorder="1" applyAlignment="1">
      <alignment vertical="center" wrapText="1"/>
    </xf>
    <xf numFmtId="0" fontId="0" fillId="7" borderId="4" xfId="0" applyFill="1" applyBorder="1" applyAlignment="1">
      <alignment wrapText="1"/>
    </xf>
    <xf numFmtId="0" fontId="7" fillId="9" borderId="1" xfId="0" applyFont="1" applyFill="1" applyBorder="1"/>
    <xf numFmtId="14" fontId="10" fillId="0" borderId="54" xfId="0" applyNumberFormat="1" applyFont="1" applyBorder="1" applyAlignment="1">
      <alignment vertical="top"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19" fillId="0" borderId="8" xfId="0" applyFont="1" applyBorder="1" applyAlignment="1">
      <alignment horizontal="center" vertical="center"/>
    </xf>
    <xf numFmtId="0" fontId="17" fillId="0" borderId="9" xfId="0" applyFont="1" applyBorder="1" applyAlignment="1">
      <alignment horizontal="center" vertical="center"/>
    </xf>
    <xf numFmtId="0" fontId="17" fillId="0" borderId="5" xfId="0" applyFont="1" applyBorder="1" applyAlignment="1">
      <alignment horizontal="center" vertical="center"/>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5" xfId="0" applyFont="1" applyBorder="1" applyAlignment="1">
      <alignment horizontal="center" vertical="center" wrapText="1"/>
    </xf>
    <xf numFmtId="0" fontId="6" fillId="4" borderId="9"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5" xfId="0" applyFont="1" applyBorder="1" applyAlignment="1">
      <alignment horizontal="center" vertical="center" wrapText="1"/>
    </xf>
    <xf numFmtId="0" fontId="7" fillId="5" borderId="72" xfId="0" applyFont="1" applyFill="1" applyBorder="1" applyAlignment="1">
      <alignment horizontal="center" vertical="center" wrapText="1"/>
    </xf>
    <xf numFmtId="0" fontId="7" fillId="5" borderId="48"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6" fillId="4" borderId="70" xfId="0" applyFont="1" applyFill="1" applyBorder="1" applyAlignment="1">
      <alignment horizontal="center"/>
    </xf>
    <xf numFmtId="0" fontId="6" fillId="4" borderId="71" xfId="0" applyFont="1" applyFill="1" applyBorder="1" applyAlignment="1">
      <alignment horizontal="center"/>
    </xf>
    <xf numFmtId="0" fontId="6" fillId="13" borderId="25" xfId="0" applyFont="1" applyFill="1" applyBorder="1" applyAlignment="1">
      <alignment horizontal="center"/>
    </xf>
    <xf numFmtId="0" fontId="6" fillId="13" borderId="3" xfId="0" applyFont="1" applyFill="1" applyBorder="1" applyAlignment="1">
      <alignment horizontal="center"/>
    </xf>
    <xf numFmtId="0" fontId="18" fillId="7" borderId="8" xfId="0" applyFont="1" applyFill="1" applyBorder="1" applyAlignment="1">
      <alignment horizontal="center" vertical="center"/>
    </xf>
    <xf numFmtId="0" fontId="18" fillId="7" borderId="9" xfId="0" applyFont="1" applyFill="1" applyBorder="1" applyAlignment="1">
      <alignment horizontal="center" vertical="center"/>
    </xf>
    <xf numFmtId="0" fontId="18" fillId="7" borderId="5" xfId="0" applyFont="1" applyFill="1" applyBorder="1" applyAlignment="1">
      <alignment horizontal="center" vertical="center"/>
    </xf>
    <xf numFmtId="0" fontId="7" fillId="0" borderId="29" xfId="0" applyFont="1" applyBorder="1" applyAlignment="1">
      <alignment horizontal="left" vertical="top" wrapText="1"/>
    </xf>
    <xf numFmtId="0" fontId="7" fillId="0" borderId="30" xfId="0" applyFont="1" applyBorder="1" applyAlignment="1">
      <alignment horizontal="left" vertical="top" wrapText="1"/>
    </xf>
    <xf numFmtId="0" fontId="7" fillId="0" borderId="29" xfId="0" applyFont="1" applyBorder="1" applyAlignment="1">
      <alignment horizontal="center" wrapText="1"/>
    </xf>
    <xf numFmtId="0" fontId="7" fillId="0" borderId="30" xfId="0" applyFont="1" applyBorder="1" applyAlignment="1">
      <alignment horizontal="center" wrapText="1"/>
    </xf>
    <xf numFmtId="0" fontId="7" fillId="0" borderId="37" xfId="0" applyFont="1" applyBorder="1" applyAlignment="1">
      <alignment horizontal="center" wrapText="1"/>
    </xf>
    <xf numFmtId="0" fontId="11" fillId="0" borderId="9" xfId="0" applyFont="1" applyBorder="1" applyAlignment="1">
      <alignment horizontal="center" vertical="top" wrapText="1"/>
    </xf>
    <xf numFmtId="0" fontId="11" fillId="0" borderId="9" xfId="0" applyFont="1" applyBorder="1" applyAlignment="1">
      <alignment horizontal="center" vertical="top"/>
    </xf>
    <xf numFmtId="0" fontId="11" fillId="0" borderId="5" xfId="0" applyFont="1" applyBorder="1" applyAlignment="1">
      <alignment horizontal="center" vertical="top"/>
    </xf>
    <xf numFmtId="0" fontId="11" fillId="4" borderId="8" xfId="0" applyFont="1" applyFill="1" applyBorder="1" applyAlignment="1">
      <alignment horizontal="left"/>
    </xf>
    <xf numFmtId="0" fontId="11" fillId="4" borderId="9" xfId="0" applyFont="1" applyFill="1" applyBorder="1" applyAlignment="1">
      <alignment horizontal="left"/>
    </xf>
    <xf numFmtId="0" fontId="11" fillId="4" borderId="5" xfId="0" applyFont="1" applyFill="1" applyBorder="1" applyAlignment="1">
      <alignment horizontal="left"/>
    </xf>
    <xf numFmtId="0" fontId="11" fillId="11" borderId="8" xfId="0" applyFont="1" applyFill="1" applyBorder="1" applyAlignment="1">
      <alignment horizontal="left"/>
    </xf>
    <xf numFmtId="0" fontId="11" fillId="11" borderId="9" xfId="0" applyFont="1" applyFill="1" applyBorder="1" applyAlignment="1">
      <alignment horizontal="left"/>
    </xf>
    <xf numFmtId="0" fontId="11" fillId="11" borderId="5" xfId="0" applyFont="1" applyFill="1" applyBorder="1" applyAlignment="1">
      <alignment horizontal="left"/>
    </xf>
    <xf numFmtId="49" fontId="11" fillId="0" borderId="8" xfId="0" applyNumberFormat="1" applyFont="1" applyBorder="1" applyAlignment="1">
      <alignment horizontal="center" vertical="top" wrapText="1"/>
    </xf>
    <xf numFmtId="49" fontId="11" fillId="0" borderId="9" xfId="0" applyNumberFormat="1" applyFont="1" applyBorder="1" applyAlignment="1">
      <alignment horizontal="center" vertical="top" wrapText="1"/>
    </xf>
    <xf numFmtId="0" fontId="11" fillId="0" borderId="41"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8" xfId="0" applyFont="1" applyBorder="1" applyAlignment="1">
      <alignment horizontal="center" vertical="top" wrapText="1"/>
    </xf>
    <xf numFmtId="0" fontId="11" fillId="0" borderId="76" xfId="0" applyFont="1" applyBorder="1" applyAlignment="1">
      <alignment horizontal="center" vertical="top" wrapText="1"/>
    </xf>
    <xf numFmtId="0" fontId="11" fillId="0" borderId="7" xfId="0" applyFont="1" applyBorder="1" applyAlignment="1">
      <alignment horizontal="center" vertical="top" wrapText="1"/>
    </xf>
    <xf numFmtId="164" fontId="10" fillId="7" borderId="0" xfId="0" applyNumberFormat="1" applyFont="1" applyFill="1" applyAlignment="1">
      <alignment horizontal="center" vertical="top" wrapText="1"/>
    </xf>
  </cellXfs>
  <cellStyles count="2">
    <cellStyle name="Hyperlink 2" xfId="1" xr:uid="{00000000-0005-0000-0000-000000000000}"/>
    <cellStyle name="Normal" xfId="0" builtinId="0"/>
  </cellStyles>
  <dxfs count="29">
    <dxf>
      <font>
        <color rgb="FF9C0006"/>
      </font>
      <fill>
        <patternFill>
          <bgColor rgb="FFFFC7CE"/>
        </patternFill>
      </fill>
    </dxf>
    <dxf>
      <fill>
        <patternFill>
          <bgColor theme="0" tint="-0.34998626667073579"/>
        </patternFill>
      </fill>
    </dxf>
    <dxf>
      <font>
        <color rgb="FF9C0006"/>
      </font>
      <fill>
        <patternFill>
          <bgColor rgb="FFFFC7CE"/>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rgb="FF9C0006"/>
      </font>
      <fill>
        <patternFill>
          <bgColor rgb="FFFFC7CE"/>
        </patternFill>
      </fill>
    </dxf>
    <dxf>
      <fill>
        <patternFill>
          <bgColor theme="0" tint="-0.34998626667073579"/>
        </patternFill>
      </fill>
    </dxf>
    <dxf>
      <font>
        <color rgb="FF9C0006"/>
      </font>
      <fill>
        <patternFill>
          <bgColor rgb="FFFFC7CE"/>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rgb="FF9C0006"/>
      </font>
      <fill>
        <patternFill>
          <bgColor rgb="FFFFC7CE"/>
        </patternFill>
      </fill>
    </dxf>
    <dxf>
      <fill>
        <patternFill>
          <bgColor rgb="FF92D05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0" defaultTableStyle="TableStyleMedium2" defaultPivotStyle="PivotStyleMedium9"/>
  <colors>
    <mruColors>
      <color rgb="FFC5D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1724025</xdr:colOff>
      <xdr:row>0</xdr:row>
      <xdr:rowOff>819150</xdr:rowOff>
    </xdr:to>
    <xdr:pic>
      <xdr:nvPicPr>
        <xdr:cNvPr id="2" name="Picture 5">
          <a:extLst>
            <a:ext uri="{FF2B5EF4-FFF2-40B4-BE49-F238E27FC236}">
              <a16:creationId xmlns:a16="http://schemas.microsoft.com/office/drawing/2014/main" id="{412BF3B9-D289-48A7-B69E-6F106F0D745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3124200" cy="819150"/>
        </a:xfrm>
        <a:prstGeom prst="rect">
          <a:avLst/>
        </a:prstGeom>
        <a:solidFill>
          <a:srgbClr val="FFFFFF"/>
        </a:solid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91108</xdr:colOff>
      <xdr:row>26</xdr:row>
      <xdr:rowOff>621196</xdr:rowOff>
    </xdr:from>
    <xdr:to>
      <xdr:col>7</xdr:col>
      <xdr:colOff>4911587</xdr:colOff>
      <xdr:row>26</xdr:row>
      <xdr:rowOff>1586862</xdr:rowOff>
    </xdr:to>
    <xdr:pic>
      <xdr:nvPicPr>
        <xdr:cNvPr id="3" name="Picture 2">
          <a:extLst>
            <a:ext uri="{FF2B5EF4-FFF2-40B4-BE49-F238E27FC236}">
              <a16:creationId xmlns:a16="http://schemas.microsoft.com/office/drawing/2014/main" id="{F0637DDB-9DBD-4C28-8DC4-C16AAE3D0D95}"/>
            </a:ext>
          </a:extLst>
        </xdr:cNvPr>
        <xdr:cNvPicPr>
          <a:picLocks noChangeAspect="1"/>
        </xdr:cNvPicPr>
      </xdr:nvPicPr>
      <xdr:blipFill>
        <a:blip xmlns:r="http://schemas.openxmlformats.org/officeDocument/2006/relationships" r:embed="rId1"/>
        <a:stretch>
          <a:fillRect/>
        </a:stretch>
      </xdr:blipFill>
      <xdr:spPr>
        <a:xfrm>
          <a:off x="7511083" y="17794771"/>
          <a:ext cx="4820479" cy="965666"/>
        </a:xfrm>
        <a:prstGeom prst="rect">
          <a:avLst/>
        </a:prstGeom>
      </xdr:spPr>
    </xdr:pic>
    <xdr:clientData/>
  </xdr:twoCellAnchor>
  <xdr:twoCellAnchor>
    <xdr:from>
      <xdr:col>7</xdr:col>
      <xdr:colOff>76201</xdr:colOff>
      <xdr:row>42</xdr:row>
      <xdr:rowOff>209550</xdr:rowOff>
    </xdr:from>
    <xdr:to>
      <xdr:col>7</xdr:col>
      <xdr:colOff>5372861</xdr:colOff>
      <xdr:row>42</xdr:row>
      <xdr:rowOff>540006</xdr:rowOff>
    </xdr:to>
    <xdr:pic>
      <xdr:nvPicPr>
        <xdr:cNvPr id="4" name="Picture 3">
          <a:extLst>
            <a:ext uri="{FF2B5EF4-FFF2-40B4-BE49-F238E27FC236}">
              <a16:creationId xmlns:a16="http://schemas.microsoft.com/office/drawing/2014/main" id="{E4BA93EE-533C-46DF-8747-827F4BA6F76E}"/>
            </a:ext>
          </a:extLst>
        </xdr:cNvPr>
        <xdr:cNvPicPr>
          <a:picLocks noChangeAspect="1"/>
        </xdr:cNvPicPr>
      </xdr:nvPicPr>
      <xdr:blipFill>
        <a:blip xmlns:r="http://schemas.openxmlformats.org/officeDocument/2006/relationships" r:embed="rId2"/>
        <a:stretch>
          <a:fillRect/>
        </a:stretch>
      </xdr:blipFill>
      <xdr:spPr>
        <a:xfrm>
          <a:off x="7496176" y="24698325"/>
          <a:ext cx="5296660" cy="330456"/>
        </a:xfrm>
        <a:prstGeom prst="rect">
          <a:avLst/>
        </a:prstGeom>
      </xdr:spPr>
    </xdr:pic>
    <xdr:clientData/>
  </xdr:twoCellAnchor>
  <xdr:twoCellAnchor>
    <xdr:from>
      <xdr:col>7</xdr:col>
      <xdr:colOff>57150</xdr:colOff>
      <xdr:row>14</xdr:row>
      <xdr:rowOff>390525</xdr:rowOff>
    </xdr:from>
    <xdr:to>
      <xdr:col>7</xdr:col>
      <xdr:colOff>5162550</xdr:colOff>
      <xdr:row>14</xdr:row>
      <xdr:rowOff>2176782</xdr:rowOff>
    </xdr:to>
    <xdr:pic>
      <xdr:nvPicPr>
        <xdr:cNvPr id="5" name="Picture 4">
          <a:extLst>
            <a:ext uri="{FF2B5EF4-FFF2-40B4-BE49-F238E27FC236}">
              <a16:creationId xmlns:a16="http://schemas.microsoft.com/office/drawing/2014/main" id="{8CB3F014-8EE0-4230-B778-DDD5A994EF35}"/>
            </a:ext>
          </a:extLst>
        </xdr:cNvPr>
        <xdr:cNvPicPr>
          <a:picLocks noChangeAspect="1"/>
        </xdr:cNvPicPr>
      </xdr:nvPicPr>
      <xdr:blipFill>
        <a:blip xmlns:r="http://schemas.openxmlformats.org/officeDocument/2006/relationships" r:embed="rId3"/>
        <a:stretch>
          <a:fillRect/>
        </a:stretch>
      </xdr:blipFill>
      <xdr:spPr>
        <a:xfrm>
          <a:off x="7477125" y="10706100"/>
          <a:ext cx="5105400" cy="1738632"/>
        </a:xfrm>
        <a:prstGeom prst="rect">
          <a:avLst/>
        </a:prstGeom>
      </xdr:spPr>
    </xdr:pic>
    <xdr:clientData/>
  </xdr:twoCellAnchor>
  <xdr:twoCellAnchor>
    <xdr:from>
      <xdr:col>7</xdr:col>
      <xdr:colOff>0</xdr:colOff>
      <xdr:row>6</xdr:row>
      <xdr:rowOff>0</xdr:rowOff>
    </xdr:from>
    <xdr:to>
      <xdr:col>7</xdr:col>
      <xdr:colOff>3314700</xdr:colOff>
      <xdr:row>6</xdr:row>
      <xdr:rowOff>2249853</xdr:rowOff>
    </xdr:to>
    <xdr:pic>
      <xdr:nvPicPr>
        <xdr:cNvPr id="8" name="Picture 7">
          <a:extLst>
            <a:ext uri="{FF2B5EF4-FFF2-40B4-BE49-F238E27FC236}">
              <a16:creationId xmlns:a16="http://schemas.microsoft.com/office/drawing/2014/main" id="{5270E731-00EC-48EA-90C7-C45EA3D82721}"/>
            </a:ext>
          </a:extLst>
        </xdr:cNvPr>
        <xdr:cNvPicPr>
          <a:picLocks noChangeAspect="1"/>
        </xdr:cNvPicPr>
      </xdr:nvPicPr>
      <xdr:blipFill>
        <a:blip xmlns:r="http://schemas.openxmlformats.org/officeDocument/2006/relationships" r:embed="rId4"/>
        <a:stretch>
          <a:fillRect/>
        </a:stretch>
      </xdr:blipFill>
      <xdr:spPr>
        <a:xfrm>
          <a:off x="7419975" y="3352800"/>
          <a:ext cx="3314700" cy="2249853"/>
        </a:xfrm>
        <a:prstGeom prst="rect">
          <a:avLst/>
        </a:prstGeom>
      </xdr:spPr>
    </xdr:pic>
    <xdr:clientData/>
  </xdr:twoCellAnchor>
  <xdr:twoCellAnchor>
    <xdr:from>
      <xdr:col>7</xdr:col>
      <xdr:colOff>91108</xdr:colOff>
      <xdr:row>26</xdr:row>
      <xdr:rowOff>621196</xdr:rowOff>
    </xdr:from>
    <xdr:to>
      <xdr:col>7</xdr:col>
      <xdr:colOff>4911587</xdr:colOff>
      <xdr:row>26</xdr:row>
      <xdr:rowOff>1586862</xdr:rowOff>
    </xdr:to>
    <xdr:pic>
      <xdr:nvPicPr>
        <xdr:cNvPr id="12" name="Picture 11">
          <a:extLst>
            <a:ext uri="{FF2B5EF4-FFF2-40B4-BE49-F238E27FC236}">
              <a16:creationId xmlns:a16="http://schemas.microsoft.com/office/drawing/2014/main" id="{CA51A339-B81A-4EF4-B71B-7DA9AEC18ED0}"/>
            </a:ext>
          </a:extLst>
        </xdr:cNvPr>
        <xdr:cNvPicPr>
          <a:picLocks noChangeAspect="1"/>
        </xdr:cNvPicPr>
      </xdr:nvPicPr>
      <xdr:blipFill>
        <a:blip xmlns:r="http://schemas.openxmlformats.org/officeDocument/2006/relationships" r:embed="rId1"/>
        <a:stretch>
          <a:fillRect/>
        </a:stretch>
      </xdr:blipFill>
      <xdr:spPr>
        <a:xfrm>
          <a:off x="7511083" y="17794771"/>
          <a:ext cx="4820479" cy="965666"/>
        </a:xfrm>
        <a:prstGeom prst="rect">
          <a:avLst/>
        </a:prstGeom>
      </xdr:spPr>
    </xdr:pic>
    <xdr:clientData/>
  </xdr:twoCellAnchor>
  <xdr:twoCellAnchor>
    <xdr:from>
      <xdr:col>7</xdr:col>
      <xdr:colOff>123825</xdr:colOff>
      <xdr:row>52</xdr:row>
      <xdr:rowOff>228601</xdr:rowOff>
    </xdr:from>
    <xdr:to>
      <xdr:col>7</xdr:col>
      <xdr:colOff>4895850</xdr:colOff>
      <xdr:row>52</xdr:row>
      <xdr:rowOff>3060987</xdr:rowOff>
    </xdr:to>
    <xdr:pic>
      <xdr:nvPicPr>
        <xdr:cNvPr id="6" name="Picture 5">
          <a:extLst>
            <a:ext uri="{FF2B5EF4-FFF2-40B4-BE49-F238E27FC236}">
              <a16:creationId xmlns:a16="http://schemas.microsoft.com/office/drawing/2014/main" id="{2F8DC437-4D43-4222-B84B-345250986E61}"/>
            </a:ext>
          </a:extLst>
        </xdr:cNvPr>
        <xdr:cNvPicPr>
          <a:picLocks noChangeAspect="1"/>
        </xdr:cNvPicPr>
      </xdr:nvPicPr>
      <xdr:blipFill>
        <a:blip xmlns:r="http://schemas.openxmlformats.org/officeDocument/2006/relationships" r:embed="rId5"/>
        <a:stretch>
          <a:fillRect/>
        </a:stretch>
      </xdr:blipFill>
      <xdr:spPr>
        <a:xfrm>
          <a:off x="9915525" y="25479376"/>
          <a:ext cx="4772025" cy="283238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DBEA3-45A4-43EA-A165-7B29296EE318}">
  <sheetPr>
    <pageSetUpPr fitToPage="1"/>
  </sheetPr>
  <dimension ref="A1:B29"/>
  <sheetViews>
    <sheetView view="pageBreakPreview" zoomScaleNormal="100" zoomScaleSheetLayoutView="100" workbookViewId="0">
      <selection activeCell="E18" sqref="E18"/>
    </sheetView>
  </sheetViews>
  <sheetFormatPr defaultRowHeight="15" x14ac:dyDescent="0.25"/>
  <cols>
    <col min="1" max="1" width="21" customWidth="1"/>
    <col min="2" max="2" width="63.28515625" customWidth="1"/>
    <col min="3" max="3" width="2.7109375" customWidth="1"/>
  </cols>
  <sheetData>
    <row r="1" spans="1:2" ht="66" customHeight="1" x14ac:dyDescent="0.25">
      <c r="A1" s="2"/>
    </row>
    <row r="2" spans="1:2" ht="23.25" x14ac:dyDescent="0.35">
      <c r="A2" s="3" t="s">
        <v>9</v>
      </c>
    </row>
    <row r="3" spans="1:2" ht="6" customHeight="1" x14ac:dyDescent="0.25"/>
    <row r="5" spans="1:2" x14ac:dyDescent="0.25">
      <c r="A5" s="4" t="s">
        <v>50</v>
      </c>
    </row>
    <row r="6" spans="1:2" x14ac:dyDescent="0.25">
      <c r="A6" s="5" t="s">
        <v>51</v>
      </c>
      <c r="B6" s="6" t="s">
        <v>43</v>
      </c>
    </row>
    <row r="7" spans="1:2" x14ac:dyDescent="0.25">
      <c r="A7" s="5" t="s">
        <v>52</v>
      </c>
      <c r="B7" s="6" t="s">
        <v>53</v>
      </c>
    </row>
    <row r="8" spans="1:2" ht="76.5" x14ac:dyDescent="0.25">
      <c r="A8" s="5" t="s">
        <v>63</v>
      </c>
      <c r="B8" s="6" t="s">
        <v>64</v>
      </c>
    </row>
    <row r="9" spans="1:2" x14ac:dyDescent="0.25">
      <c r="A9" s="5" t="s">
        <v>65</v>
      </c>
      <c r="B9" s="6"/>
    </row>
    <row r="10" spans="1:2" x14ac:dyDescent="0.25">
      <c r="A10" s="5" t="s">
        <v>74</v>
      </c>
      <c r="B10" s="7"/>
    </row>
    <row r="11" spans="1:2" x14ac:dyDescent="0.25">
      <c r="A11" s="5" t="s">
        <v>168</v>
      </c>
      <c r="B11" s="6" t="s">
        <v>115</v>
      </c>
    </row>
    <row r="13" spans="1:2" ht="26.45" customHeight="1" x14ac:dyDescent="0.25"/>
    <row r="14" spans="1:2" ht="6" customHeight="1" x14ac:dyDescent="0.25"/>
    <row r="17" ht="30" customHeight="1" x14ac:dyDescent="0.25"/>
    <row r="21" ht="30" customHeight="1" x14ac:dyDescent="0.25"/>
    <row r="24" ht="28.15" customHeight="1" x14ac:dyDescent="0.25"/>
    <row r="25" ht="6" customHeight="1" x14ac:dyDescent="0.25"/>
    <row r="28" ht="30" customHeight="1" x14ac:dyDescent="0.25"/>
    <row r="29" ht="7.15" customHeight="1" x14ac:dyDescent="0.25"/>
  </sheetData>
  <pageMargins left="0.70866141732283472" right="0.70866141732283472" top="0.74803149606299213" bottom="0.74803149606299213" header="0.31496062992125984" footer="0.31496062992125984"/>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tabSelected="1" zoomScaleNormal="100" workbookViewId="0">
      <selection activeCell="B4" sqref="B4"/>
    </sheetView>
  </sheetViews>
  <sheetFormatPr defaultRowHeight="15" x14ac:dyDescent="0.25"/>
  <cols>
    <col min="1" max="1" width="9.140625" bestFit="1" customWidth="1"/>
    <col min="2" max="2" width="57.140625" customWidth="1"/>
    <col min="3" max="3" width="36.42578125" customWidth="1"/>
    <col min="4" max="5" width="15.28515625" customWidth="1"/>
    <col min="6" max="7" width="16" customWidth="1"/>
    <col min="8" max="8" width="16.42578125" customWidth="1"/>
  </cols>
  <sheetData>
    <row r="1" spans="1:7" ht="16.5" thickBot="1" x14ac:dyDescent="0.3">
      <c r="A1" s="190" t="s">
        <v>166</v>
      </c>
      <c r="B1" s="191"/>
      <c r="C1" s="191"/>
      <c r="D1" s="191"/>
      <c r="E1" s="191"/>
      <c r="F1" s="191"/>
      <c r="G1" s="192"/>
    </row>
    <row r="2" spans="1:7" ht="24.75" thickBot="1" x14ac:dyDescent="0.3">
      <c r="A2" s="8" t="s">
        <v>14</v>
      </c>
      <c r="B2" s="9" t="s">
        <v>15</v>
      </c>
      <c r="C2" s="9" t="s">
        <v>31</v>
      </c>
      <c r="D2" s="9" t="s">
        <v>49</v>
      </c>
      <c r="E2" s="9" t="s">
        <v>32</v>
      </c>
      <c r="F2" s="9" t="s">
        <v>49</v>
      </c>
      <c r="G2" s="9" t="s">
        <v>232</v>
      </c>
    </row>
    <row r="3" spans="1:7" ht="15.75" thickBot="1" x14ac:dyDescent="0.3">
      <c r="A3" s="188" t="s">
        <v>150</v>
      </c>
      <c r="B3" s="189"/>
      <c r="C3" s="86"/>
      <c r="D3" s="86"/>
      <c r="E3" s="86"/>
      <c r="F3" s="87"/>
      <c r="G3" s="87"/>
    </row>
    <row r="4" spans="1:7" ht="48.75" thickBot="1" x14ac:dyDescent="0.3">
      <c r="A4" s="14" t="s">
        <v>16</v>
      </c>
      <c r="B4" s="15" t="s">
        <v>122</v>
      </c>
      <c r="C4" s="15"/>
      <c r="D4" s="15"/>
      <c r="E4" s="15"/>
      <c r="F4" s="15"/>
      <c r="G4" s="15"/>
    </row>
    <row r="5" spans="1:7" ht="180.75" thickBot="1" x14ac:dyDescent="0.3">
      <c r="A5" s="14" t="s">
        <v>17</v>
      </c>
      <c r="B5" s="15" t="s">
        <v>309</v>
      </c>
      <c r="C5" s="15"/>
      <c r="D5" s="15"/>
      <c r="E5" s="15"/>
      <c r="F5" s="15"/>
      <c r="G5" s="15"/>
    </row>
    <row r="6" spans="1:7" ht="132.75" thickBot="1" x14ac:dyDescent="0.3">
      <c r="A6" s="14" t="s">
        <v>18</v>
      </c>
      <c r="B6" s="15" t="s">
        <v>267</v>
      </c>
      <c r="C6" s="15"/>
      <c r="D6" s="15"/>
      <c r="E6" s="15"/>
      <c r="F6" s="15"/>
      <c r="G6" s="15"/>
    </row>
    <row r="7" spans="1:7" ht="15.75" customHeight="1" thickBot="1" x14ac:dyDescent="0.3">
      <c r="A7" s="188" t="s">
        <v>185</v>
      </c>
      <c r="B7" s="189"/>
      <c r="C7" s="86"/>
      <c r="D7" s="86"/>
      <c r="E7" s="86"/>
      <c r="F7" s="87"/>
      <c r="G7" s="87"/>
    </row>
    <row r="8" spans="1:7" ht="24.75" thickBot="1" x14ac:dyDescent="0.3">
      <c r="A8" s="28" t="s">
        <v>19</v>
      </c>
      <c r="B8" s="27" t="s">
        <v>41</v>
      </c>
      <c r="C8" s="15"/>
      <c r="D8" s="15"/>
      <c r="E8" s="15"/>
      <c r="F8" s="15"/>
      <c r="G8" s="15"/>
    </row>
    <row r="9" spans="1:7" ht="15.75" thickBot="1" x14ac:dyDescent="0.3">
      <c r="A9" s="28" t="s">
        <v>22</v>
      </c>
      <c r="B9" s="27" t="s">
        <v>20</v>
      </c>
      <c r="C9" s="15"/>
      <c r="D9" s="15"/>
      <c r="E9" s="15"/>
      <c r="F9" s="15"/>
      <c r="G9" s="15"/>
    </row>
    <row r="10" spans="1:7" ht="15.75" customHeight="1" thickBot="1" x14ac:dyDescent="0.3">
      <c r="A10" s="188" t="s">
        <v>21</v>
      </c>
      <c r="B10" s="189"/>
      <c r="C10" s="86"/>
      <c r="D10" s="86"/>
      <c r="E10" s="86"/>
      <c r="F10" s="87"/>
      <c r="G10" s="87"/>
    </row>
    <row r="11" spans="1:7" ht="24.75" thickBot="1" x14ac:dyDescent="0.3">
      <c r="A11" s="28" t="s">
        <v>56</v>
      </c>
      <c r="B11" s="27" t="s">
        <v>42</v>
      </c>
      <c r="C11" s="15"/>
      <c r="D11" s="15"/>
      <c r="E11" s="15"/>
      <c r="F11" s="15"/>
      <c r="G11" s="15"/>
    </row>
    <row r="12" spans="1:7" ht="15.75" thickBot="1" x14ac:dyDescent="0.3">
      <c r="A12" s="188" t="s">
        <v>23</v>
      </c>
      <c r="B12" s="189"/>
      <c r="C12" s="86"/>
      <c r="D12" s="86"/>
      <c r="E12" s="86"/>
      <c r="F12" s="87"/>
      <c r="G12" s="87"/>
    </row>
    <row r="13" spans="1:7" ht="24.75" thickBot="1" x14ac:dyDescent="0.3">
      <c r="A13" s="29">
        <v>2</v>
      </c>
      <c r="B13" s="27" t="s">
        <v>235</v>
      </c>
      <c r="C13" s="15"/>
      <c r="D13" s="15"/>
      <c r="E13" s="15"/>
      <c r="F13" s="15"/>
      <c r="G13" s="15"/>
    </row>
    <row r="14" spans="1:7" ht="15.75" thickBot="1" x14ac:dyDescent="0.3">
      <c r="A14" s="25">
        <v>3</v>
      </c>
      <c r="B14" s="15" t="s">
        <v>128</v>
      </c>
      <c r="C14" s="15"/>
      <c r="D14" s="15"/>
      <c r="E14" s="15"/>
      <c r="F14" s="15"/>
      <c r="G14" s="15"/>
    </row>
    <row r="15" spans="1:7" ht="72.75" thickBot="1" x14ac:dyDescent="0.3">
      <c r="A15" s="81">
        <v>4</v>
      </c>
      <c r="B15" s="82" t="s">
        <v>268</v>
      </c>
      <c r="C15" s="15"/>
      <c r="D15" s="15"/>
      <c r="E15" s="15"/>
      <c r="F15" s="15"/>
      <c r="G15" s="15"/>
    </row>
    <row r="16" spans="1:7" ht="36.75" thickBot="1" x14ac:dyDescent="0.3">
      <c r="A16" s="25">
        <v>5</v>
      </c>
      <c r="B16" s="16" t="s">
        <v>57</v>
      </c>
      <c r="C16" s="15"/>
      <c r="D16" s="15"/>
      <c r="E16" s="15"/>
      <c r="F16" s="15"/>
      <c r="G16" s="15"/>
    </row>
    <row r="17" spans="1:7" ht="48.75" thickBot="1" x14ac:dyDescent="0.3">
      <c r="A17" s="11" t="s">
        <v>37</v>
      </c>
      <c r="B17" s="12" t="s">
        <v>60</v>
      </c>
      <c r="C17" s="13"/>
      <c r="D17" s="13"/>
      <c r="E17" s="13"/>
      <c r="F17" s="13"/>
      <c r="G17" s="13"/>
    </row>
    <row r="18" spans="1:7" ht="15.75" thickBot="1" x14ac:dyDescent="0.3">
      <c r="A18" s="25">
        <v>6</v>
      </c>
      <c r="B18" s="15" t="s">
        <v>169</v>
      </c>
      <c r="C18" s="15"/>
      <c r="D18" s="15"/>
      <c r="E18" s="15"/>
      <c r="F18" s="15"/>
      <c r="G18" s="15"/>
    </row>
    <row r="19" spans="1:7" ht="15.75" thickBot="1" x14ac:dyDescent="0.3">
      <c r="A19" s="25">
        <v>7</v>
      </c>
      <c r="B19" s="15" t="s">
        <v>116</v>
      </c>
      <c r="C19" s="15"/>
      <c r="D19" s="15"/>
      <c r="E19" s="15"/>
      <c r="F19" s="15"/>
      <c r="G19" s="15"/>
    </row>
    <row r="20" spans="1:7" ht="24.75" thickBot="1" x14ac:dyDescent="0.3">
      <c r="A20" s="25">
        <v>8</v>
      </c>
      <c r="B20" s="15" t="s">
        <v>237</v>
      </c>
      <c r="C20" s="15"/>
      <c r="D20" s="15"/>
      <c r="E20" s="15"/>
      <c r="F20" s="15"/>
      <c r="G20" s="15"/>
    </row>
    <row r="21" spans="1:7" ht="72.75" thickBot="1" x14ac:dyDescent="0.3">
      <c r="A21" s="25">
        <v>9</v>
      </c>
      <c r="B21" s="15" t="s">
        <v>195</v>
      </c>
      <c r="C21" s="15"/>
      <c r="D21" s="15"/>
      <c r="E21" s="15"/>
      <c r="F21" s="15"/>
      <c r="G21" s="15"/>
    </row>
    <row r="22" spans="1:7" ht="15.75" thickBot="1" x14ac:dyDescent="0.3">
      <c r="A22" s="25">
        <v>10</v>
      </c>
      <c r="B22" s="15" t="s">
        <v>118</v>
      </c>
      <c r="C22" s="15"/>
      <c r="D22" s="15"/>
      <c r="E22" s="15"/>
      <c r="F22" s="15"/>
      <c r="G22" s="15"/>
    </row>
    <row r="23" spans="1:7" ht="15.75" thickBot="1" x14ac:dyDescent="0.3">
      <c r="A23" s="25">
        <v>11</v>
      </c>
      <c r="B23" s="15" t="s">
        <v>59</v>
      </c>
      <c r="C23" s="15"/>
      <c r="D23" s="15"/>
      <c r="E23" s="15"/>
      <c r="F23" s="15"/>
      <c r="G23" s="15"/>
    </row>
    <row r="24" spans="1:7" ht="48.75" thickBot="1" x14ac:dyDescent="0.3">
      <c r="A24" s="11" t="s">
        <v>38</v>
      </c>
      <c r="B24" s="12" t="s">
        <v>61</v>
      </c>
      <c r="C24" s="13"/>
      <c r="D24" s="13"/>
      <c r="E24" s="13"/>
      <c r="F24" s="13"/>
      <c r="G24" s="13"/>
    </row>
    <row r="25" spans="1:7" ht="192.75" thickBot="1" x14ac:dyDescent="0.3">
      <c r="A25" s="25">
        <v>12</v>
      </c>
      <c r="B25" s="163" t="s">
        <v>269</v>
      </c>
      <c r="C25" s="137"/>
      <c r="D25" s="137"/>
      <c r="E25" s="137"/>
      <c r="F25" s="137"/>
      <c r="G25" s="128"/>
    </row>
    <row r="26" spans="1:7" ht="24.75" thickBot="1" x14ac:dyDescent="0.3">
      <c r="A26" s="25" t="s">
        <v>311</v>
      </c>
      <c r="B26" s="15" t="s">
        <v>216</v>
      </c>
      <c r="C26" s="15"/>
      <c r="D26" s="15"/>
      <c r="E26" s="15"/>
      <c r="F26" s="15"/>
      <c r="G26" s="15"/>
    </row>
    <row r="27" spans="1:7" ht="15.75" thickBot="1" x14ac:dyDescent="0.3">
      <c r="A27" s="25" t="s">
        <v>312</v>
      </c>
      <c r="B27" s="15" t="s">
        <v>261</v>
      </c>
      <c r="C27" s="15"/>
      <c r="D27" s="15"/>
      <c r="E27" s="15"/>
      <c r="F27" s="15"/>
      <c r="G27" s="15"/>
    </row>
    <row r="28" spans="1:7" ht="15.75" thickBot="1" x14ac:dyDescent="0.3">
      <c r="A28" s="25" t="s">
        <v>313</v>
      </c>
      <c r="B28" s="15" t="s">
        <v>217</v>
      </c>
      <c r="C28" s="15"/>
      <c r="D28" s="15"/>
      <c r="E28" s="15"/>
      <c r="F28" s="15"/>
      <c r="G28" s="15"/>
    </row>
    <row r="29" spans="1:7" ht="15.75" thickBot="1" x14ac:dyDescent="0.3">
      <c r="A29" s="25" t="s">
        <v>314</v>
      </c>
      <c r="B29" s="15" t="s">
        <v>218</v>
      </c>
      <c r="C29" s="15"/>
      <c r="D29" s="15"/>
      <c r="E29" s="15"/>
      <c r="F29" s="15"/>
      <c r="G29" s="15"/>
    </row>
    <row r="30" spans="1:7" ht="48.75" thickBot="1" x14ac:dyDescent="0.3">
      <c r="A30" s="11" t="s">
        <v>220</v>
      </c>
      <c r="B30" s="12" t="s">
        <v>215</v>
      </c>
      <c r="C30" s="13"/>
      <c r="D30" s="13"/>
      <c r="E30" s="13"/>
      <c r="F30" s="13"/>
      <c r="G30" s="13"/>
    </row>
    <row r="31" spans="1:7" ht="24.75" thickBot="1" x14ac:dyDescent="0.3">
      <c r="A31" s="25">
        <v>13</v>
      </c>
      <c r="B31" s="15" t="s">
        <v>310</v>
      </c>
      <c r="C31" s="50" t="s">
        <v>58</v>
      </c>
      <c r="D31" s="50" t="s">
        <v>58</v>
      </c>
      <c r="E31" s="15"/>
      <c r="F31" s="15"/>
      <c r="G31" s="15"/>
    </row>
    <row r="32" spans="1:7" ht="24.75" thickBot="1" x14ac:dyDescent="0.3">
      <c r="A32" s="25">
        <v>14</v>
      </c>
      <c r="B32" s="15" t="s">
        <v>108</v>
      </c>
      <c r="C32" s="50" t="s">
        <v>58</v>
      </c>
      <c r="D32" s="50" t="s">
        <v>58</v>
      </c>
      <c r="E32" s="15"/>
      <c r="F32" s="15"/>
      <c r="G32" s="15"/>
    </row>
    <row r="33" spans="1:7" ht="24.75" thickBot="1" x14ac:dyDescent="0.3">
      <c r="A33" s="25">
        <v>15</v>
      </c>
      <c r="B33" s="15" t="s">
        <v>170</v>
      </c>
      <c r="C33" s="50" t="s">
        <v>58</v>
      </c>
      <c r="D33" s="50" t="s">
        <v>58</v>
      </c>
      <c r="E33" s="15"/>
      <c r="F33" s="15"/>
      <c r="G33" s="15"/>
    </row>
    <row r="34" spans="1:7" ht="24.75" thickBot="1" x14ac:dyDescent="0.3">
      <c r="A34" s="25">
        <v>16</v>
      </c>
      <c r="B34" s="15" t="s">
        <v>117</v>
      </c>
      <c r="C34" s="50" t="s">
        <v>58</v>
      </c>
      <c r="D34" s="50" t="s">
        <v>58</v>
      </c>
      <c r="E34" s="15"/>
      <c r="F34" s="15"/>
      <c r="G34" s="15"/>
    </row>
    <row r="35" spans="1:7" ht="36.75" thickBot="1" x14ac:dyDescent="0.3">
      <c r="A35" s="30" t="s">
        <v>40</v>
      </c>
      <c r="B35" s="31" t="s">
        <v>39</v>
      </c>
      <c r="C35" s="93" t="s">
        <v>58</v>
      </c>
      <c r="D35" s="94" t="s">
        <v>58</v>
      </c>
      <c r="E35" s="94"/>
      <c r="F35" s="94"/>
      <c r="G35" s="94"/>
    </row>
  </sheetData>
  <mergeCells count="5">
    <mergeCell ref="A3:B3"/>
    <mergeCell ref="A7:B7"/>
    <mergeCell ref="A10:B10"/>
    <mergeCell ref="A12:B12"/>
    <mergeCell ref="A1:G1"/>
  </mergeCells>
  <conditionalFormatting sqref="B27:B29">
    <cfRule type="expression" dxfId="28" priority="1">
      <formula>$B$6="Subminor (no functional change)"</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491D0-7B10-4159-AD06-2A0FA11B8AAC}">
  <dimension ref="A1:N45"/>
  <sheetViews>
    <sheetView zoomScaleNormal="100" workbookViewId="0">
      <selection activeCell="B6" sqref="B6"/>
    </sheetView>
  </sheetViews>
  <sheetFormatPr defaultRowHeight="15" x14ac:dyDescent="0.25"/>
  <cols>
    <col min="1" max="1" width="12.28515625" customWidth="1"/>
    <col min="2" max="2" width="69.42578125" customWidth="1"/>
    <col min="3" max="5" width="15.28515625" customWidth="1"/>
    <col min="6" max="7" width="16" customWidth="1"/>
    <col min="8" max="8" width="16.42578125" customWidth="1"/>
    <col min="9" max="9" width="87.5703125" customWidth="1"/>
  </cols>
  <sheetData>
    <row r="1" spans="1:14" ht="15.75" customHeight="1" thickBot="1" x14ac:dyDescent="0.3">
      <c r="A1" s="195" t="s">
        <v>187</v>
      </c>
      <c r="B1" s="196"/>
      <c r="C1" s="196"/>
      <c r="D1" s="196"/>
      <c r="E1" s="196"/>
      <c r="F1" s="196"/>
      <c r="G1" s="197"/>
    </row>
    <row r="2" spans="1:14" ht="24.75" thickBot="1" x14ac:dyDescent="0.3">
      <c r="A2" s="8" t="s">
        <v>14</v>
      </c>
      <c r="B2" s="9" t="s">
        <v>15</v>
      </c>
      <c r="C2" s="9" t="s">
        <v>31</v>
      </c>
      <c r="D2" s="9" t="s">
        <v>49</v>
      </c>
      <c r="E2" s="9" t="s">
        <v>32</v>
      </c>
      <c r="F2" s="9" t="s">
        <v>49</v>
      </c>
      <c r="G2" s="9" t="s">
        <v>232</v>
      </c>
    </row>
    <row r="3" spans="1:14" ht="15.75" customHeight="1" thickBot="1" x14ac:dyDescent="0.3">
      <c r="A3" s="198" t="s">
        <v>144</v>
      </c>
      <c r="B3" s="198"/>
      <c r="C3" s="83"/>
      <c r="D3" s="83"/>
      <c r="E3" s="83"/>
      <c r="F3" s="84"/>
      <c r="G3" s="84"/>
    </row>
    <row r="4" spans="1:14" ht="60.75" thickBot="1" x14ac:dyDescent="0.3">
      <c r="A4" s="27" t="s">
        <v>142</v>
      </c>
      <c r="B4" s="185" t="s">
        <v>300</v>
      </c>
      <c r="C4" s="27"/>
      <c r="D4" s="27"/>
      <c r="E4" s="27"/>
      <c r="F4" s="27"/>
      <c r="G4" s="27"/>
    </row>
    <row r="5" spans="1:14" ht="15.75" thickBot="1" x14ac:dyDescent="0.3">
      <c r="A5" s="201" t="s">
        <v>143</v>
      </c>
      <c r="B5" s="184" t="s">
        <v>233</v>
      </c>
      <c r="C5" s="85"/>
      <c r="D5" s="86"/>
      <c r="E5" s="86"/>
      <c r="F5" s="86"/>
      <c r="G5" s="87"/>
    </row>
    <row r="6" spans="1:14" ht="15.75" thickBot="1" x14ac:dyDescent="0.3">
      <c r="A6" s="202"/>
      <c r="B6" s="156" t="s">
        <v>120</v>
      </c>
      <c r="C6" s="27"/>
      <c r="D6" s="27"/>
      <c r="E6" s="27"/>
      <c r="F6" s="27"/>
      <c r="G6" s="27"/>
    </row>
    <row r="7" spans="1:14" ht="15.75" thickBot="1" x14ac:dyDescent="0.3">
      <c r="A7" s="202"/>
      <c r="B7" s="156" t="s">
        <v>120</v>
      </c>
      <c r="C7" s="27"/>
      <c r="D7" s="27"/>
      <c r="E7" s="27"/>
      <c r="F7" s="27"/>
      <c r="G7" s="27"/>
    </row>
    <row r="8" spans="1:14" ht="204.75" thickBot="1" x14ac:dyDescent="0.3">
      <c r="A8" s="203"/>
      <c r="B8" s="16" t="s">
        <v>234</v>
      </c>
      <c r="C8" s="85"/>
      <c r="D8" s="86"/>
      <c r="E8" s="86"/>
      <c r="F8" s="86"/>
      <c r="G8" s="87"/>
    </row>
    <row r="9" spans="1:14" ht="132.75" thickBot="1" x14ac:dyDescent="0.3">
      <c r="A9" s="157" t="s">
        <v>149</v>
      </c>
      <c r="B9" s="16" t="s">
        <v>317</v>
      </c>
      <c r="C9" s="27"/>
      <c r="D9" s="27"/>
      <c r="E9" s="27"/>
      <c r="F9" s="27"/>
      <c r="G9" s="27"/>
    </row>
    <row r="10" spans="1:14" ht="48.75" thickBot="1" x14ac:dyDescent="0.3">
      <c r="A10" s="157" t="s">
        <v>299</v>
      </c>
      <c r="B10" s="16" t="s">
        <v>315</v>
      </c>
      <c r="C10" s="27"/>
      <c r="D10" s="27"/>
      <c r="E10" s="27"/>
      <c r="F10" s="27"/>
      <c r="G10" s="27"/>
      <c r="H10" s="52"/>
      <c r="I10" s="1"/>
      <c r="J10" s="1"/>
      <c r="K10" s="1"/>
      <c r="L10" s="1"/>
      <c r="M10" s="1"/>
      <c r="N10" s="1"/>
    </row>
    <row r="11" spans="1:14" ht="15.75" customHeight="1" thickBot="1" x14ac:dyDescent="0.3">
      <c r="A11" s="198" t="s">
        <v>145</v>
      </c>
      <c r="B11" s="198"/>
      <c r="C11" s="83"/>
      <c r="D11" s="83"/>
      <c r="E11" s="83"/>
      <c r="F11" s="86"/>
      <c r="G11" s="87"/>
    </row>
    <row r="12" spans="1:14" ht="15.75" thickBot="1" x14ac:dyDescent="0.3">
      <c r="A12" s="131">
        <v>1</v>
      </c>
      <c r="B12" s="129" t="s">
        <v>182</v>
      </c>
      <c r="C12" s="85"/>
      <c r="D12" s="86"/>
      <c r="E12" s="86"/>
      <c r="F12" s="86"/>
      <c r="G12" s="87"/>
      <c r="H12" s="52"/>
      <c r="I12" s="1"/>
      <c r="J12" s="1"/>
      <c r="K12" s="1"/>
      <c r="L12" s="1"/>
      <c r="M12" s="1"/>
      <c r="N12" s="1"/>
    </row>
    <row r="13" spans="1:14" ht="72.75" thickBot="1" x14ac:dyDescent="0.3">
      <c r="A13" s="132" t="s">
        <v>16</v>
      </c>
      <c r="B13" s="15" t="s">
        <v>198</v>
      </c>
      <c r="C13" s="27"/>
      <c r="D13" s="27"/>
      <c r="E13" s="27"/>
      <c r="F13" s="27"/>
      <c r="G13" s="27"/>
      <c r="H13" s="52"/>
      <c r="I13" s="1"/>
      <c r="J13" s="1"/>
      <c r="K13" s="1"/>
      <c r="L13" s="1"/>
      <c r="M13" s="1"/>
      <c r="N13" s="1"/>
    </row>
    <row r="14" spans="1:14" ht="72.75" thickBot="1" x14ac:dyDescent="0.3">
      <c r="A14" s="133" t="s">
        <v>17</v>
      </c>
      <c r="B14" s="15" t="s">
        <v>107</v>
      </c>
      <c r="C14" s="27"/>
      <c r="D14" s="27"/>
      <c r="E14" s="27"/>
      <c r="F14" s="27"/>
      <c r="G14" s="27"/>
      <c r="H14" s="52"/>
      <c r="I14" s="1"/>
      <c r="J14" s="1"/>
      <c r="K14" s="1"/>
      <c r="L14" s="1"/>
      <c r="M14" s="1"/>
      <c r="N14" s="1"/>
    </row>
    <row r="15" spans="1:14" ht="15.75" thickBot="1" x14ac:dyDescent="0.3">
      <c r="A15" s="134">
        <v>1</v>
      </c>
      <c r="B15" s="130" t="s">
        <v>183</v>
      </c>
      <c r="C15" s="85"/>
      <c r="D15" s="86"/>
      <c r="E15" s="86"/>
      <c r="F15" s="86"/>
      <c r="G15" s="87"/>
    </row>
    <row r="16" spans="1:14" ht="84.75" thickBot="1" x14ac:dyDescent="0.3">
      <c r="A16" s="133" t="s">
        <v>18</v>
      </c>
      <c r="B16" s="15" t="s">
        <v>199</v>
      </c>
      <c r="C16" s="26"/>
      <c r="D16" s="26"/>
      <c r="E16" s="26"/>
      <c r="F16" s="26"/>
      <c r="G16" s="26"/>
    </row>
    <row r="17" spans="1:8" ht="84.75" thickBot="1" x14ac:dyDescent="0.3">
      <c r="A17" s="133" t="s">
        <v>19</v>
      </c>
      <c r="B17" s="15" t="s">
        <v>105</v>
      </c>
      <c r="C17" s="15"/>
      <c r="D17" s="26"/>
      <c r="E17" s="26"/>
      <c r="F17" s="26"/>
      <c r="G17" s="26"/>
    </row>
    <row r="18" spans="1:8" ht="96.75" thickBot="1" x14ac:dyDescent="0.3">
      <c r="A18" s="135" t="s">
        <v>22</v>
      </c>
      <c r="B18" s="15" t="s">
        <v>106</v>
      </c>
      <c r="C18" s="27"/>
      <c r="D18" s="27"/>
      <c r="E18" s="27"/>
      <c r="F18" s="27"/>
      <c r="G18" s="27"/>
    </row>
    <row r="19" spans="1:8" ht="15.75" thickBot="1" x14ac:dyDescent="0.3">
      <c r="A19" s="199" t="s">
        <v>23</v>
      </c>
      <c r="B19" s="200"/>
      <c r="C19" s="88"/>
      <c r="D19" s="88"/>
      <c r="E19" s="88"/>
      <c r="F19" s="86"/>
      <c r="G19" s="87"/>
      <c r="H19" s="1"/>
    </row>
    <row r="20" spans="1:8" ht="15.75" thickBot="1" x14ac:dyDescent="0.3">
      <c r="A20" s="81">
        <v>2</v>
      </c>
      <c r="B20" s="82" t="s">
        <v>180</v>
      </c>
      <c r="C20" s="128"/>
      <c r="D20" s="128"/>
      <c r="E20" s="128"/>
      <c r="F20" s="128"/>
      <c r="G20" s="128"/>
    </row>
    <row r="21" spans="1:8" ht="19.5" customHeight="1" thickBot="1" x14ac:dyDescent="0.3">
      <c r="A21" s="25">
        <v>3</v>
      </c>
      <c r="B21" s="15" t="s">
        <v>178</v>
      </c>
      <c r="C21" s="27"/>
      <c r="D21" s="27"/>
      <c r="E21" s="27"/>
      <c r="F21" s="27"/>
      <c r="G21" s="27"/>
    </row>
    <row r="22" spans="1:8" ht="36.75" thickBot="1" x14ac:dyDescent="0.3">
      <c r="A22" s="25">
        <v>4</v>
      </c>
      <c r="B22" s="15" t="s">
        <v>194</v>
      </c>
      <c r="C22" s="27"/>
      <c r="D22" s="27"/>
      <c r="E22" s="27"/>
      <c r="F22" s="27"/>
      <c r="G22" s="27"/>
    </row>
    <row r="23" spans="1:8" ht="36.6" customHeight="1" thickBot="1" x14ac:dyDescent="0.3">
      <c r="A23" s="25">
        <v>5</v>
      </c>
      <c r="B23" s="15" t="s">
        <v>179</v>
      </c>
      <c r="C23" s="27"/>
      <c r="D23" s="27"/>
      <c r="E23" s="27"/>
      <c r="F23" s="27"/>
      <c r="G23" s="27"/>
    </row>
    <row r="24" spans="1:8" ht="36.75" thickBot="1" x14ac:dyDescent="0.3">
      <c r="A24" s="25">
        <v>6</v>
      </c>
      <c r="B24" s="15" t="s">
        <v>316</v>
      </c>
      <c r="C24" s="27"/>
      <c r="D24" s="27"/>
      <c r="E24" s="27"/>
      <c r="F24" s="27"/>
      <c r="G24" s="27"/>
    </row>
    <row r="25" spans="1:8" ht="15.75" thickBot="1" x14ac:dyDescent="0.3">
      <c r="A25" s="25">
        <v>7</v>
      </c>
      <c r="B25" s="15" t="s">
        <v>238</v>
      </c>
      <c r="C25" s="27"/>
      <c r="D25" s="27"/>
      <c r="E25" s="27"/>
      <c r="F25" s="27"/>
      <c r="G25" s="27"/>
    </row>
    <row r="26" spans="1:8" ht="24.75" thickBot="1" x14ac:dyDescent="0.3">
      <c r="A26" s="25">
        <v>8</v>
      </c>
      <c r="B26" s="15" t="s">
        <v>252</v>
      </c>
      <c r="C26" s="27"/>
      <c r="D26" s="27"/>
      <c r="E26" s="27"/>
      <c r="F26" s="27"/>
      <c r="G26" s="27"/>
    </row>
    <row r="27" spans="1:8" ht="24.75" thickBot="1" x14ac:dyDescent="0.3">
      <c r="A27" s="25">
        <v>9</v>
      </c>
      <c r="B27" s="15" t="s">
        <v>146</v>
      </c>
      <c r="C27" s="27"/>
      <c r="D27" s="27"/>
      <c r="E27" s="27"/>
      <c r="F27" s="27"/>
      <c r="G27" s="27"/>
    </row>
    <row r="28" spans="1:8" ht="24.75" thickBot="1" x14ac:dyDescent="0.3">
      <c r="A28" s="25">
        <v>10</v>
      </c>
      <c r="B28" s="15" t="s">
        <v>239</v>
      </c>
      <c r="C28" s="27"/>
      <c r="D28" s="27"/>
      <c r="E28" s="27"/>
      <c r="F28" s="27"/>
      <c r="G28" s="27"/>
    </row>
    <row r="29" spans="1:8" ht="36.75" thickBot="1" x14ac:dyDescent="0.3">
      <c r="A29" s="25">
        <v>11</v>
      </c>
      <c r="B29" s="15" t="s">
        <v>240</v>
      </c>
      <c r="C29" s="27"/>
      <c r="D29" s="27"/>
      <c r="E29" s="27"/>
      <c r="F29" s="27"/>
      <c r="G29" s="27"/>
    </row>
    <row r="30" spans="1:8" ht="36.75" thickBot="1" x14ac:dyDescent="0.3">
      <c r="A30" s="25">
        <v>12</v>
      </c>
      <c r="B30" s="15" t="s">
        <v>200</v>
      </c>
      <c r="C30" s="27"/>
      <c r="D30" s="27"/>
      <c r="E30" s="27"/>
      <c r="F30" s="27"/>
      <c r="G30" s="27"/>
    </row>
    <row r="31" spans="1:8" ht="24.75" thickBot="1" x14ac:dyDescent="0.3">
      <c r="A31" s="25">
        <v>13</v>
      </c>
      <c r="B31" s="15" t="s">
        <v>164</v>
      </c>
      <c r="C31" s="27"/>
      <c r="D31" s="27"/>
      <c r="E31" s="27"/>
      <c r="F31" s="27"/>
      <c r="G31" s="27"/>
    </row>
    <row r="32" spans="1:8" ht="15.75" thickBot="1" x14ac:dyDescent="0.3">
      <c r="A32" s="89">
        <v>14</v>
      </c>
      <c r="B32" s="90" t="s">
        <v>181</v>
      </c>
      <c r="C32" s="91"/>
      <c r="D32" s="91"/>
      <c r="E32" s="91"/>
      <c r="F32" s="91"/>
      <c r="G32" s="91"/>
    </row>
    <row r="33" spans="1:7" ht="15.75" customHeight="1" thickBot="1" x14ac:dyDescent="0.3">
      <c r="A33" s="193" t="s">
        <v>219</v>
      </c>
      <c r="B33" s="194"/>
      <c r="C33" s="83"/>
      <c r="D33" s="83"/>
      <c r="E33" s="83"/>
      <c r="F33" s="86"/>
      <c r="G33" s="87"/>
    </row>
    <row r="34" spans="1:7" ht="192.75" thickBot="1" x14ac:dyDescent="0.3">
      <c r="A34" s="25" t="s">
        <v>241</v>
      </c>
      <c r="B34" s="163" t="s">
        <v>269</v>
      </c>
      <c r="C34" s="137"/>
      <c r="D34" s="137"/>
      <c r="E34" s="137"/>
      <c r="F34" s="137"/>
      <c r="G34" s="128"/>
    </row>
    <row r="35" spans="1:7" ht="24.75" thickBot="1" x14ac:dyDescent="0.3">
      <c r="A35" s="25" t="s">
        <v>242</v>
      </c>
      <c r="B35" s="15" t="s">
        <v>216</v>
      </c>
      <c r="C35" s="15"/>
      <c r="D35" s="15"/>
      <c r="E35" s="15"/>
      <c r="F35" s="15"/>
      <c r="G35" s="15"/>
    </row>
    <row r="36" spans="1:7" ht="15.75" thickBot="1" x14ac:dyDescent="0.3">
      <c r="A36" s="25" t="s">
        <v>243</v>
      </c>
      <c r="B36" s="15" t="s">
        <v>261</v>
      </c>
      <c r="C36" s="15"/>
      <c r="D36" s="15"/>
      <c r="E36" s="15"/>
      <c r="F36" s="15"/>
      <c r="G36" s="15"/>
    </row>
    <row r="37" spans="1:7" ht="15.75" thickBot="1" x14ac:dyDescent="0.3">
      <c r="A37" s="25" t="s">
        <v>244</v>
      </c>
      <c r="B37" s="15" t="s">
        <v>217</v>
      </c>
      <c r="C37" s="15"/>
      <c r="D37" s="15"/>
      <c r="E37" s="15"/>
      <c r="F37" s="15"/>
      <c r="G37" s="15"/>
    </row>
    <row r="38" spans="1:7" ht="15.75" thickBot="1" x14ac:dyDescent="0.3">
      <c r="A38" s="25" t="s">
        <v>245</v>
      </c>
      <c r="B38" s="15" t="s">
        <v>218</v>
      </c>
      <c r="C38" s="15"/>
      <c r="D38" s="15"/>
      <c r="E38" s="15"/>
      <c r="F38" s="15"/>
      <c r="G38" s="15"/>
    </row>
    <row r="39" spans="1:7" ht="15.75" customHeight="1" thickBot="1" x14ac:dyDescent="0.3">
      <c r="A39" s="193" t="s">
        <v>114</v>
      </c>
      <c r="B39" s="194"/>
      <c r="C39" s="83"/>
      <c r="D39" s="83"/>
      <c r="E39" s="83"/>
      <c r="F39" s="86"/>
      <c r="G39" s="87"/>
    </row>
    <row r="40" spans="1:7" ht="24.75" thickBot="1" x14ac:dyDescent="0.3">
      <c r="A40" s="25">
        <v>16</v>
      </c>
      <c r="B40" s="15" t="s">
        <v>186</v>
      </c>
      <c r="C40" s="158" t="s">
        <v>58</v>
      </c>
      <c r="D40" s="158" t="s">
        <v>58</v>
      </c>
      <c r="E40" s="15"/>
      <c r="F40" s="15"/>
      <c r="G40" s="15"/>
    </row>
    <row r="41" spans="1:7" ht="24.75" thickBot="1" x14ac:dyDescent="0.3">
      <c r="A41" s="25">
        <v>17</v>
      </c>
      <c r="B41" s="15" t="s">
        <v>123</v>
      </c>
      <c r="C41" s="158" t="s">
        <v>58</v>
      </c>
      <c r="D41" s="158" t="s">
        <v>58</v>
      </c>
      <c r="E41" s="15"/>
      <c r="F41" s="15"/>
      <c r="G41" s="15"/>
    </row>
    <row r="42" spans="1:7" ht="24.75" thickBot="1" x14ac:dyDescent="0.3">
      <c r="A42" s="25">
        <v>18</v>
      </c>
      <c r="B42" s="15" t="s">
        <v>170</v>
      </c>
      <c r="C42" s="158" t="s">
        <v>58</v>
      </c>
      <c r="D42" s="158" t="s">
        <v>58</v>
      </c>
      <c r="E42" s="15"/>
      <c r="F42" s="15"/>
      <c r="G42" s="15"/>
    </row>
    <row r="43" spans="1:7" ht="24.75" thickBot="1" x14ac:dyDescent="0.3">
      <c r="A43" s="25">
        <v>19</v>
      </c>
      <c r="B43" s="15" t="s">
        <v>184</v>
      </c>
      <c r="C43" s="159" t="s">
        <v>58</v>
      </c>
      <c r="D43" s="159" t="s">
        <v>58</v>
      </c>
      <c r="E43" s="90"/>
      <c r="F43" s="90"/>
      <c r="G43" s="90"/>
    </row>
    <row r="44" spans="1:7" ht="48.75" thickBot="1" x14ac:dyDescent="0.3">
      <c r="A44" s="25">
        <v>20</v>
      </c>
      <c r="B44" s="15" t="s">
        <v>253</v>
      </c>
      <c r="C44" s="160" t="s">
        <v>58</v>
      </c>
      <c r="D44" s="161" t="s">
        <v>58</v>
      </c>
      <c r="E44" s="82"/>
      <c r="F44" s="82"/>
      <c r="G44" s="82"/>
    </row>
    <row r="45" spans="1:7" ht="36.75" thickBot="1" x14ac:dyDescent="0.3">
      <c r="A45" s="30" t="s">
        <v>40</v>
      </c>
      <c r="B45" s="92" t="s">
        <v>39</v>
      </c>
      <c r="C45" s="93" t="s">
        <v>58</v>
      </c>
      <c r="D45" s="94" t="s">
        <v>58</v>
      </c>
      <c r="E45" s="94"/>
      <c r="F45" s="94"/>
      <c r="G45" s="94"/>
    </row>
  </sheetData>
  <mergeCells count="7">
    <mergeCell ref="A39:B39"/>
    <mergeCell ref="A1:G1"/>
    <mergeCell ref="A3:B3"/>
    <mergeCell ref="A11:B11"/>
    <mergeCell ref="A19:B19"/>
    <mergeCell ref="A33:B33"/>
    <mergeCell ref="A5:A8"/>
  </mergeCells>
  <conditionalFormatting sqref="A9:G9">
    <cfRule type="expression" dxfId="27" priority="24">
      <formula>$B$7&lt;&gt;"Subminor (no functional change)"</formula>
    </cfRule>
  </conditionalFormatting>
  <conditionalFormatting sqref="A9:G44">
    <cfRule type="expression" dxfId="26" priority="6">
      <formula>$B$6="Select From Dropdown"</formula>
    </cfRule>
    <cfRule type="expression" dxfId="25" priority="10">
      <formula>$B$7="Select From Dropdown"</formula>
    </cfRule>
  </conditionalFormatting>
  <conditionalFormatting sqref="A10:G10">
    <cfRule type="expression" dxfId="24" priority="23">
      <formula>AND($B$7&lt;&gt;"Minor", $B$7&lt;&gt;"Major")</formula>
    </cfRule>
  </conditionalFormatting>
  <conditionalFormatting sqref="A11:G44">
    <cfRule type="expression" dxfId="23" priority="12">
      <formula>$B$7="Subminor (no functional change)"</formula>
    </cfRule>
  </conditionalFormatting>
  <conditionalFormatting sqref="A12:G14">
    <cfRule type="expression" dxfId="22" priority="16">
      <formula>$B$6&lt;&gt;"Appmodule"</formula>
    </cfRule>
  </conditionalFormatting>
  <conditionalFormatting sqref="A15:G16 A18:G18">
    <cfRule type="expression" dxfId="21" priority="15">
      <formula>$B$6="Appmodule"</formula>
    </cfRule>
  </conditionalFormatting>
  <conditionalFormatting sqref="A17:G17">
    <cfRule type="expression" dxfId="20" priority="14">
      <formula>$B$6&lt;&gt;"PIOS (Port)"</formula>
    </cfRule>
  </conditionalFormatting>
  <conditionalFormatting sqref="A26:G26">
    <cfRule type="expression" dxfId="19" priority="13">
      <formula>$B$7="Major"</formula>
    </cfRule>
  </conditionalFormatting>
  <conditionalFormatting sqref="A27:G31">
    <cfRule type="expression" dxfId="18" priority="19">
      <formula>$B$7="Subminor (bug fix)"</formula>
    </cfRule>
  </conditionalFormatting>
  <conditionalFormatting sqref="A44:G44">
    <cfRule type="expression" dxfId="17" priority="17">
      <formula>$B$7&lt;&gt;"Major"</formula>
    </cfRule>
  </conditionalFormatting>
  <conditionalFormatting sqref="B6:B7">
    <cfRule type="notContainsText" dxfId="16" priority="25" operator="notContains" text="select">
      <formula>ISERROR(SEARCH("select",B6))</formula>
    </cfRule>
    <cfRule type="containsText" dxfId="15" priority="26" operator="containsText" text="select">
      <formula>NOT(ISERROR(SEARCH("select",B6)))</formula>
    </cfRule>
  </conditionalFormatting>
  <conditionalFormatting sqref="F11:G12">
    <cfRule type="expression" dxfId="14" priority="4">
      <formula>$B$6="Appmodule"</formula>
    </cfRule>
  </conditionalFormatting>
  <conditionalFormatting sqref="F19:G19">
    <cfRule type="expression" dxfId="13" priority="3">
      <formula>$B$6="Appmodule"</formula>
    </cfRule>
  </conditionalFormatting>
  <conditionalFormatting sqref="F33:G33">
    <cfRule type="expression" dxfId="12" priority="2">
      <formula>$B$6="Appmodule"</formula>
    </cfRule>
  </conditionalFormatting>
  <conditionalFormatting sqref="F39:G39">
    <cfRule type="expression" dxfId="11" priority="1">
      <formula>$B$6="Appmodule"</formula>
    </cfRule>
  </conditionalFormatting>
  <dataValidations count="2">
    <dataValidation type="list" allowBlank="1" showInputMessage="1" showErrorMessage="1" sqref="B7" xr:uid="{79490B7F-1421-4684-B3DD-1251C861D77B}">
      <formula1>"Select From Dropdown, Subminor (no functional change), Subminor (bug fix), Minor, Major"</formula1>
    </dataValidation>
    <dataValidation type="list" allowBlank="1" showInputMessage="1" showErrorMessage="1" sqref="B6" xr:uid="{8C918E73-0319-4EFD-B4CD-51E9AE0C57EF}">
      <formula1>"Select From Dropdown, Appmodule, PIOS (Common), PIOS (Port)"</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7"/>
  <sheetViews>
    <sheetView zoomScaleNormal="100" workbookViewId="0">
      <selection activeCell="G9" sqref="G9"/>
    </sheetView>
  </sheetViews>
  <sheetFormatPr defaultRowHeight="15" x14ac:dyDescent="0.25"/>
  <cols>
    <col min="1" max="1" width="9.140625" style="155"/>
    <col min="2" max="2" width="51.7109375" style="1" bestFit="1" customWidth="1"/>
    <col min="3" max="3" width="10.7109375" bestFit="1" customWidth="1"/>
    <col min="4" max="4" width="10.7109375" customWidth="1"/>
    <col min="5" max="5" width="9.42578125" bestFit="1" customWidth="1"/>
    <col min="6" max="6" width="9.42578125" customWidth="1"/>
    <col min="7" max="7" width="45.7109375" customWidth="1"/>
    <col min="8" max="8" width="87.28515625" style="1" customWidth="1"/>
  </cols>
  <sheetData>
    <row r="1" spans="1:8" s="32" customFormat="1" ht="19.5" thickBot="1" x14ac:dyDescent="0.25">
      <c r="A1" s="208" t="s">
        <v>165</v>
      </c>
      <c r="B1" s="209"/>
      <c r="C1" s="209"/>
      <c r="D1" s="209"/>
      <c r="E1" s="209"/>
      <c r="F1" s="209"/>
      <c r="G1" s="209"/>
      <c r="H1" s="210"/>
    </row>
    <row r="2" spans="1:8" s="32" customFormat="1" ht="12.75" thickBot="1" x14ac:dyDescent="0.25">
      <c r="A2" s="149" t="s">
        <v>10</v>
      </c>
      <c r="B2" s="9" t="s">
        <v>3</v>
      </c>
      <c r="C2" s="10" t="s">
        <v>4</v>
      </c>
      <c r="D2" s="10" t="s">
        <v>49</v>
      </c>
      <c r="E2" s="9" t="s">
        <v>5</v>
      </c>
      <c r="F2" s="9" t="s">
        <v>49</v>
      </c>
      <c r="G2" s="9" t="s">
        <v>8</v>
      </c>
      <c r="H2" s="9" t="s">
        <v>66</v>
      </c>
    </row>
    <row r="3" spans="1:8" s="32" customFormat="1" ht="12" x14ac:dyDescent="0.2">
      <c r="A3" s="150">
        <v>1</v>
      </c>
      <c r="B3" s="95" t="s">
        <v>33</v>
      </c>
      <c r="C3" s="96"/>
      <c r="D3" s="96"/>
      <c r="E3" s="96"/>
      <c r="F3" s="96"/>
      <c r="G3" s="96"/>
      <c r="H3" s="97"/>
    </row>
    <row r="4" spans="1:8" s="32" customFormat="1" ht="12" x14ac:dyDescent="0.2">
      <c r="A4" s="148">
        <v>1.1000000000000001</v>
      </c>
      <c r="B4" s="34" t="s">
        <v>62</v>
      </c>
      <c r="C4" s="33"/>
      <c r="D4" s="33"/>
      <c r="E4" s="33"/>
      <c r="F4" s="33"/>
      <c r="G4" s="34"/>
      <c r="H4" s="35"/>
    </row>
    <row r="5" spans="1:8" s="32" customFormat="1" ht="24" x14ac:dyDescent="0.2">
      <c r="A5" s="148">
        <v>1.2</v>
      </c>
      <c r="B5" s="34" t="s">
        <v>191</v>
      </c>
      <c r="C5" s="33"/>
      <c r="D5" s="33"/>
      <c r="E5" s="33"/>
      <c r="F5" s="33"/>
      <c r="G5" s="34"/>
      <c r="H5" s="35"/>
    </row>
    <row r="6" spans="1:8" s="32" customFormat="1" ht="36" x14ac:dyDescent="0.2">
      <c r="A6" s="148">
        <v>1.3</v>
      </c>
      <c r="B6" s="34" t="s">
        <v>192</v>
      </c>
      <c r="C6" s="33"/>
      <c r="D6" s="33"/>
      <c r="E6" s="33"/>
      <c r="F6" s="33"/>
      <c r="G6" s="34"/>
      <c r="H6" s="35"/>
    </row>
    <row r="7" spans="1:8" s="32" customFormat="1" ht="192" x14ac:dyDescent="0.2">
      <c r="A7" s="148">
        <v>1.4</v>
      </c>
      <c r="B7" s="34" t="s">
        <v>270</v>
      </c>
      <c r="C7" s="33"/>
      <c r="D7" s="33"/>
      <c r="E7" s="33"/>
      <c r="F7" s="33"/>
      <c r="G7" s="34"/>
      <c r="H7" s="35"/>
    </row>
    <row r="8" spans="1:8" s="32" customFormat="1" ht="24" x14ac:dyDescent="0.2">
      <c r="A8" s="148">
        <v>1.5</v>
      </c>
      <c r="B8" s="34" t="s">
        <v>193</v>
      </c>
      <c r="C8" s="33"/>
      <c r="D8" s="33"/>
      <c r="E8" s="33"/>
      <c r="F8" s="33"/>
      <c r="G8" s="34"/>
      <c r="H8" s="35"/>
    </row>
    <row r="9" spans="1:8" s="32" customFormat="1" ht="24" x14ac:dyDescent="0.2">
      <c r="A9" s="148">
        <v>1.6</v>
      </c>
      <c r="B9" s="34" t="s">
        <v>188</v>
      </c>
      <c r="C9" s="33"/>
      <c r="D9" s="33"/>
      <c r="E9" s="33"/>
      <c r="F9" s="33"/>
      <c r="G9" s="34"/>
      <c r="H9" s="35" t="s">
        <v>297</v>
      </c>
    </row>
    <row r="10" spans="1:8" s="32" customFormat="1" ht="108" x14ac:dyDescent="0.2">
      <c r="A10" s="148">
        <v>1.7</v>
      </c>
      <c r="B10" s="34" t="s">
        <v>147</v>
      </c>
      <c r="C10" s="33"/>
      <c r="D10" s="33"/>
      <c r="E10" s="33"/>
      <c r="F10" s="33"/>
      <c r="G10" s="34"/>
      <c r="H10" s="35" t="s">
        <v>163</v>
      </c>
    </row>
    <row r="11" spans="1:8" s="32" customFormat="1" ht="24" x14ac:dyDescent="0.2">
      <c r="A11" s="148">
        <v>1.8</v>
      </c>
      <c r="B11" s="34" t="s">
        <v>196</v>
      </c>
      <c r="C11" s="33"/>
      <c r="D11" s="33"/>
      <c r="E11" s="33"/>
      <c r="F11" s="33"/>
      <c r="G11" s="34"/>
      <c r="H11" s="35" t="s">
        <v>197</v>
      </c>
    </row>
    <row r="12" spans="1:8" s="32" customFormat="1" ht="36" x14ac:dyDescent="0.2">
      <c r="A12" s="148" t="s">
        <v>274</v>
      </c>
      <c r="B12" s="34" t="s">
        <v>276</v>
      </c>
      <c r="C12" s="33"/>
      <c r="D12" s="33"/>
      <c r="E12" s="33"/>
      <c r="F12" s="33"/>
      <c r="G12" s="34"/>
      <c r="H12" s="35"/>
    </row>
    <row r="13" spans="1:8" s="32" customFormat="1" ht="12" x14ac:dyDescent="0.2">
      <c r="A13" s="150">
        <v>2</v>
      </c>
      <c r="B13" s="95" t="s">
        <v>45</v>
      </c>
      <c r="C13" s="96"/>
      <c r="D13" s="96"/>
      <c r="E13" s="96"/>
      <c r="F13" s="96"/>
      <c r="G13" s="96"/>
      <c r="H13" s="97"/>
    </row>
    <row r="14" spans="1:8" s="32" customFormat="1" ht="24" x14ac:dyDescent="0.2">
      <c r="A14" s="148">
        <v>2.1</v>
      </c>
      <c r="B14" s="34" t="s">
        <v>226</v>
      </c>
      <c r="C14" s="33"/>
      <c r="D14" s="33"/>
      <c r="E14" s="33"/>
      <c r="F14" s="33"/>
      <c r="G14" s="34"/>
      <c r="H14" s="35"/>
    </row>
    <row r="15" spans="1:8" s="32" customFormat="1" ht="168" x14ac:dyDescent="0.2">
      <c r="A15" s="148">
        <v>2.2000000000000002</v>
      </c>
      <c r="B15" s="34" t="s">
        <v>36</v>
      </c>
      <c r="C15" s="33"/>
      <c r="D15" s="33"/>
      <c r="E15" s="33"/>
      <c r="F15" s="33"/>
      <c r="G15" s="34"/>
      <c r="H15" s="35" t="s">
        <v>110</v>
      </c>
    </row>
    <row r="16" spans="1:8" s="32" customFormat="1" ht="108" x14ac:dyDescent="0.2">
      <c r="A16" s="148">
        <v>2.2999999999999998</v>
      </c>
      <c r="B16" s="34" t="s">
        <v>119</v>
      </c>
      <c r="C16" s="33"/>
      <c r="D16" s="33"/>
      <c r="E16" s="33"/>
      <c r="F16" s="33"/>
      <c r="G16" s="34"/>
      <c r="H16" s="35" t="s">
        <v>67</v>
      </c>
    </row>
    <row r="17" spans="1:8" s="32" customFormat="1" ht="48" x14ac:dyDescent="0.2">
      <c r="A17" s="148">
        <v>2.4</v>
      </c>
      <c r="B17" s="34" t="s">
        <v>46</v>
      </c>
      <c r="C17" s="33"/>
      <c r="D17" s="33"/>
      <c r="E17" s="33"/>
      <c r="F17" s="33"/>
      <c r="G17" s="34"/>
      <c r="H17" s="35" t="s">
        <v>111</v>
      </c>
    </row>
    <row r="18" spans="1:8" s="32" customFormat="1" ht="24" x14ac:dyDescent="0.2">
      <c r="A18" s="148">
        <v>2.5</v>
      </c>
      <c r="B18" s="34" t="s">
        <v>47</v>
      </c>
      <c r="C18" s="33"/>
      <c r="D18" s="33"/>
      <c r="E18" s="33"/>
      <c r="F18" s="33"/>
      <c r="G18" s="34"/>
      <c r="H18" s="35"/>
    </row>
    <row r="19" spans="1:8" s="32" customFormat="1" ht="72" x14ac:dyDescent="0.2">
      <c r="A19" s="148">
        <v>2.6</v>
      </c>
      <c r="B19" s="34" t="s">
        <v>68</v>
      </c>
      <c r="C19" s="33"/>
      <c r="D19" s="33"/>
      <c r="E19" s="33"/>
      <c r="F19" s="33"/>
      <c r="G19" s="34"/>
      <c r="H19" s="35" t="s">
        <v>70</v>
      </c>
    </row>
    <row r="20" spans="1:8" s="32" customFormat="1" ht="24" x14ac:dyDescent="0.2">
      <c r="A20" s="148">
        <v>2.7</v>
      </c>
      <c r="B20" s="34" t="s">
        <v>113</v>
      </c>
      <c r="C20" s="33"/>
      <c r="D20" s="33"/>
      <c r="E20" s="33"/>
      <c r="F20" s="33"/>
      <c r="G20" s="34"/>
      <c r="H20" s="35"/>
    </row>
    <row r="21" spans="1:8" s="32" customFormat="1" ht="36" x14ac:dyDescent="0.2">
      <c r="A21" s="148">
        <v>2.8</v>
      </c>
      <c r="B21" s="34" t="s">
        <v>201</v>
      </c>
      <c r="C21" s="33"/>
      <c r="D21" s="33"/>
      <c r="E21" s="33"/>
      <c r="F21" s="33"/>
      <c r="G21" s="34"/>
      <c r="H21" s="35" t="s">
        <v>202</v>
      </c>
    </row>
    <row r="22" spans="1:8" s="32" customFormat="1" ht="84" x14ac:dyDescent="0.2">
      <c r="A22" s="151">
        <v>2.9</v>
      </c>
      <c r="B22" s="79" t="s">
        <v>222</v>
      </c>
      <c r="C22" s="33"/>
      <c r="D22" s="33"/>
      <c r="E22" s="33"/>
      <c r="F22" s="33"/>
      <c r="G22" s="34"/>
      <c r="H22" s="80" t="s">
        <v>212</v>
      </c>
    </row>
    <row r="23" spans="1:8" s="32" customFormat="1" ht="36" x14ac:dyDescent="0.2">
      <c r="A23" s="151" t="s">
        <v>225</v>
      </c>
      <c r="B23" s="79" t="s">
        <v>281</v>
      </c>
      <c r="C23" s="33"/>
      <c r="D23" s="33"/>
      <c r="E23" s="33"/>
      <c r="F23" s="33"/>
      <c r="G23" s="34"/>
      <c r="H23" s="80" t="s">
        <v>282</v>
      </c>
    </row>
    <row r="24" spans="1:8" s="32" customFormat="1" ht="60" x14ac:dyDescent="0.2">
      <c r="A24" s="151" t="s">
        <v>278</v>
      </c>
      <c r="B24" s="79" t="s">
        <v>280</v>
      </c>
      <c r="C24" s="33"/>
      <c r="D24" s="33"/>
      <c r="E24" s="33"/>
      <c r="F24" s="33"/>
      <c r="G24" s="34"/>
      <c r="H24" s="80" t="s">
        <v>224</v>
      </c>
    </row>
    <row r="25" spans="1:8" s="32" customFormat="1" ht="12" x14ac:dyDescent="0.2">
      <c r="A25" s="150">
        <v>3</v>
      </c>
      <c r="B25" s="95" t="s">
        <v>1</v>
      </c>
      <c r="C25" s="96"/>
      <c r="D25" s="96"/>
      <c r="E25" s="96"/>
      <c r="F25" s="96"/>
      <c r="G25" s="96"/>
      <c r="H25" s="97"/>
    </row>
    <row r="26" spans="1:8" s="32" customFormat="1" ht="48" x14ac:dyDescent="0.2">
      <c r="A26" s="148">
        <v>3.1</v>
      </c>
      <c r="B26" s="34" t="s">
        <v>6</v>
      </c>
      <c r="C26" s="33"/>
      <c r="D26" s="33"/>
      <c r="E26" s="33"/>
      <c r="F26" s="33"/>
      <c r="G26" s="34"/>
      <c r="H26" s="35" t="s">
        <v>203</v>
      </c>
    </row>
    <row r="27" spans="1:8" s="32" customFormat="1" ht="132" x14ac:dyDescent="0.2">
      <c r="A27" s="148">
        <v>3.2</v>
      </c>
      <c r="B27" s="34" t="s">
        <v>35</v>
      </c>
      <c r="C27" s="33"/>
      <c r="D27" s="33"/>
      <c r="E27" s="33"/>
      <c r="F27" s="33"/>
      <c r="G27" s="34"/>
      <c r="H27" s="35" t="s">
        <v>69</v>
      </c>
    </row>
    <row r="28" spans="1:8" s="32" customFormat="1" ht="24" x14ac:dyDescent="0.2">
      <c r="A28" s="148">
        <v>3.3</v>
      </c>
      <c r="B28" s="34" t="s">
        <v>204</v>
      </c>
      <c r="C28" s="33"/>
      <c r="D28" s="33"/>
      <c r="E28" s="33"/>
      <c r="F28" s="33"/>
      <c r="G28" s="34"/>
      <c r="H28" s="213" t="s">
        <v>205</v>
      </c>
    </row>
    <row r="29" spans="1:8" s="32" customFormat="1" ht="36" x14ac:dyDescent="0.2">
      <c r="A29" s="148">
        <v>3.4</v>
      </c>
      <c r="B29" s="34" t="s">
        <v>236</v>
      </c>
      <c r="C29" s="33"/>
      <c r="D29" s="33"/>
      <c r="E29" s="33"/>
      <c r="F29" s="33"/>
      <c r="G29" s="34"/>
      <c r="H29" s="214"/>
    </row>
    <row r="30" spans="1:8" s="32" customFormat="1" ht="12" x14ac:dyDescent="0.2">
      <c r="A30" s="150">
        <v>4</v>
      </c>
      <c r="B30" s="95" t="s">
        <v>112</v>
      </c>
      <c r="C30" s="96"/>
      <c r="D30" s="96"/>
      <c r="E30" s="96"/>
      <c r="F30" s="96"/>
      <c r="G30" s="96"/>
      <c r="H30" s="97"/>
    </row>
    <row r="31" spans="1:8" s="32" customFormat="1" ht="60" x14ac:dyDescent="0.2">
      <c r="A31" s="148">
        <v>4.0999999999999996</v>
      </c>
      <c r="B31" s="34" t="s">
        <v>173</v>
      </c>
      <c r="C31" s="33"/>
      <c r="D31" s="33"/>
      <c r="E31" s="33"/>
      <c r="F31" s="33"/>
      <c r="G31" s="34"/>
      <c r="H31" s="211" t="s">
        <v>171</v>
      </c>
    </row>
    <row r="32" spans="1:8" s="32" customFormat="1" ht="60" x14ac:dyDescent="0.2">
      <c r="A32" s="148">
        <v>4.2</v>
      </c>
      <c r="B32" s="34" t="s">
        <v>172</v>
      </c>
      <c r="C32" s="33"/>
      <c r="D32" s="33"/>
      <c r="E32" s="33"/>
      <c r="F32" s="33"/>
      <c r="G32" s="34"/>
      <c r="H32" s="212"/>
    </row>
    <row r="33" spans="1:8" s="32" customFormat="1" ht="24" x14ac:dyDescent="0.2">
      <c r="A33" s="148">
        <v>4.3</v>
      </c>
      <c r="B33" s="34" t="s">
        <v>174</v>
      </c>
      <c r="C33" s="33"/>
      <c r="D33" s="33"/>
      <c r="E33" s="33"/>
      <c r="F33" s="33"/>
      <c r="G33" s="34"/>
      <c r="H33" s="213" t="s">
        <v>206</v>
      </c>
    </row>
    <row r="34" spans="1:8" s="32" customFormat="1" ht="24" x14ac:dyDescent="0.2">
      <c r="A34" s="148">
        <v>4.4000000000000004</v>
      </c>
      <c r="B34" s="34" t="s">
        <v>175</v>
      </c>
      <c r="C34" s="33"/>
      <c r="D34" s="33"/>
      <c r="E34" s="33"/>
      <c r="F34" s="33"/>
      <c r="G34" s="34"/>
      <c r="H34" s="215"/>
    </row>
    <row r="35" spans="1:8" s="32" customFormat="1" ht="24" x14ac:dyDescent="0.2">
      <c r="A35" s="148">
        <v>4.5</v>
      </c>
      <c r="B35" s="34" t="s">
        <v>176</v>
      </c>
      <c r="C35" s="33"/>
      <c r="D35" s="33"/>
      <c r="E35" s="33"/>
      <c r="F35" s="33"/>
      <c r="G35" s="34"/>
      <c r="H35" s="215"/>
    </row>
    <row r="36" spans="1:8" s="32" customFormat="1" ht="24" x14ac:dyDescent="0.2">
      <c r="A36" s="148">
        <v>4.5999999999999996</v>
      </c>
      <c r="B36" s="34" t="s">
        <v>207</v>
      </c>
      <c r="C36" s="33"/>
      <c r="D36" s="33"/>
      <c r="E36" s="33"/>
      <c r="F36" s="33"/>
      <c r="G36" s="34"/>
      <c r="H36" s="215"/>
    </row>
    <row r="37" spans="1:8" s="32" customFormat="1" ht="24" x14ac:dyDescent="0.2">
      <c r="A37" s="148">
        <v>4.7</v>
      </c>
      <c r="B37" s="34" t="s">
        <v>208</v>
      </c>
      <c r="C37" s="33"/>
      <c r="D37" s="33"/>
      <c r="E37" s="33"/>
      <c r="F37" s="33"/>
      <c r="G37" s="34"/>
      <c r="H37" s="215"/>
    </row>
    <row r="38" spans="1:8" s="32" customFormat="1" ht="36" x14ac:dyDescent="0.2">
      <c r="A38" s="148">
        <v>4.8</v>
      </c>
      <c r="B38" s="34" t="s">
        <v>177</v>
      </c>
      <c r="C38" s="33"/>
      <c r="D38" s="33"/>
      <c r="E38" s="33"/>
      <c r="F38" s="33"/>
      <c r="G38" s="34"/>
      <c r="H38" s="215"/>
    </row>
    <row r="39" spans="1:8" s="32" customFormat="1" ht="36" x14ac:dyDescent="0.2">
      <c r="A39" s="148">
        <v>4.9000000000000004</v>
      </c>
      <c r="B39" s="34" t="s">
        <v>167</v>
      </c>
      <c r="C39" s="33"/>
      <c r="D39" s="33"/>
      <c r="E39" s="33"/>
      <c r="F39" s="33"/>
      <c r="G39" s="34"/>
      <c r="H39" s="214"/>
    </row>
    <row r="40" spans="1:8" s="32" customFormat="1" ht="12" x14ac:dyDescent="0.2">
      <c r="A40" s="150">
        <v>5</v>
      </c>
      <c r="B40" s="95" t="s">
        <v>2</v>
      </c>
      <c r="C40" s="96"/>
      <c r="D40" s="96"/>
      <c r="E40" s="96"/>
      <c r="F40" s="96"/>
      <c r="G40" s="96"/>
      <c r="H40" s="97"/>
    </row>
    <row r="41" spans="1:8" s="32" customFormat="1" ht="24" x14ac:dyDescent="0.2">
      <c r="A41" s="148">
        <v>5.0999999999999996</v>
      </c>
      <c r="B41" s="34" t="s">
        <v>126</v>
      </c>
      <c r="C41" s="33"/>
      <c r="D41" s="33"/>
      <c r="E41" s="33"/>
      <c r="F41" s="33"/>
      <c r="G41" s="34"/>
      <c r="H41" s="35"/>
    </row>
    <row r="42" spans="1:8" s="32" customFormat="1" ht="36" x14ac:dyDescent="0.2">
      <c r="A42" s="148">
        <v>5.2</v>
      </c>
      <c r="B42" s="34" t="s">
        <v>209</v>
      </c>
      <c r="C42" s="33"/>
      <c r="D42" s="33"/>
      <c r="E42" s="33"/>
      <c r="F42" s="33"/>
      <c r="G42" s="34"/>
      <c r="H42" s="35" t="s">
        <v>210</v>
      </c>
    </row>
    <row r="43" spans="1:8" s="32" customFormat="1" ht="48" x14ac:dyDescent="0.2">
      <c r="A43" s="148">
        <v>5.3</v>
      </c>
      <c r="B43" s="34" t="s">
        <v>54</v>
      </c>
      <c r="C43" s="33"/>
      <c r="D43" s="33"/>
      <c r="E43" s="33"/>
      <c r="F43" s="33"/>
      <c r="G43" s="34"/>
      <c r="H43" s="35" t="s">
        <v>71</v>
      </c>
    </row>
    <row r="44" spans="1:8" s="32" customFormat="1" ht="36" x14ac:dyDescent="0.2">
      <c r="A44" s="148" t="s">
        <v>265</v>
      </c>
      <c r="B44" s="34" t="s">
        <v>266</v>
      </c>
      <c r="C44" s="33"/>
      <c r="D44" s="33"/>
      <c r="E44" s="33"/>
      <c r="F44" s="33"/>
      <c r="G44" s="34"/>
      <c r="H44" s="35"/>
    </row>
    <row r="45" spans="1:8" s="32" customFormat="1" ht="12" x14ac:dyDescent="0.2">
      <c r="A45" s="148" t="s">
        <v>262</v>
      </c>
      <c r="B45" s="34" t="s">
        <v>24</v>
      </c>
      <c r="C45" s="33"/>
      <c r="D45" s="33"/>
      <c r="E45" s="33"/>
      <c r="F45" s="33"/>
      <c r="G45" s="34"/>
      <c r="H45" s="35"/>
    </row>
    <row r="46" spans="1:8" s="32" customFormat="1" ht="36" x14ac:dyDescent="0.2">
      <c r="A46" s="148" t="s">
        <v>263</v>
      </c>
      <c r="B46" s="34" t="s">
        <v>13</v>
      </c>
      <c r="C46" s="33"/>
      <c r="D46" s="33"/>
      <c r="E46" s="33"/>
      <c r="F46" s="33"/>
      <c r="G46" s="34"/>
      <c r="H46" s="35"/>
    </row>
    <row r="47" spans="1:8" s="32" customFormat="1" ht="12" x14ac:dyDescent="0.2">
      <c r="A47" s="148" t="s">
        <v>264</v>
      </c>
      <c r="B47" s="34" t="s">
        <v>7</v>
      </c>
      <c r="C47" s="33"/>
      <c r="D47" s="33"/>
      <c r="E47" s="33"/>
      <c r="F47" s="33"/>
      <c r="G47" s="34"/>
      <c r="H47" s="35"/>
    </row>
    <row r="48" spans="1:8" s="32" customFormat="1" ht="12" x14ac:dyDescent="0.2">
      <c r="A48" s="150" t="s">
        <v>87</v>
      </c>
      <c r="B48" s="95" t="s">
        <v>254</v>
      </c>
      <c r="C48" s="96"/>
      <c r="D48" s="96"/>
      <c r="E48" s="96"/>
      <c r="F48" s="96"/>
      <c r="G48" s="96"/>
      <c r="H48" s="97"/>
    </row>
    <row r="49" spans="1:12" s="32" customFormat="1" ht="24" x14ac:dyDescent="0.2">
      <c r="A49" s="148">
        <v>6.1</v>
      </c>
      <c r="B49" s="34" t="s">
        <v>34</v>
      </c>
      <c r="C49" s="33"/>
      <c r="D49" s="33"/>
      <c r="E49" s="33"/>
      <c r="F49" s="33"/>
      <c r="G49" s="34"/>
      <c r="H49" s="35"/>
    </row>
    <row r="50" spans="1:12" s="32" customFormat="1" ht="48" x14ac:dyDescent="0.2">
      <c r="A50" s="148">
        <v>6.2</v>
      </c>
      <c r="B50" s="34" t="s">
        <v>211</v>
      </c>
      <c r="C50" s="33"/>
      <c r="D50" s="33"/>
      <c r="E50" s="33"/>
      <c r="F50" s="33"/>
      <c r="G50" s="34"/>
      <c r="H50" s="213" t="s">
        <v>223</v>
      </c>
    </row>
    <row r="51" spans="1:12" s="32" customFormat="1" ht="24" x14ac:dyDescent="0.2">
      <c r="A51" s="148">
        <v>6.3</v>
      </c>
      <c r="B51" s="34" t="s">
        <v>272</v>
      </c>
      <c r="C51" s="33"/>
      <c r="D51" s="33"/>
      <c r="E51" s="33"/>
      <c r="F51" s="33"/>
      <c r="G51" s="34"/>
      <c r="H51" s="215"/>
    </row>
    <row r="52" spans="1:12" s="32" customFormat="1" ht="24" x14ac:dyDescent="0.2">
      <c r="A52" s="148">
        <v>6.4</v>
      </c>
      <c r="B52" s="34" t="s">
        <v>273</v>
      </c>
      <c r="C52" s="33"/>
      <c r="D52" s="33"/>
      <c r="E52" s="33"/>
      <c r="F52" s="33"/>
      <c r="G52" s="34"/>
      <c r="H52" s="215"/>
    </row>
    <row r="53" spans="1:12" s="32" customFormat="1" ht="252" x14ac:dyDescent="0.2">
      <c r="A53" s="148" t="s">
        <v>227</v>
      </c>
      <c r="B53" s="34" t="s">
        <v>277</v>
      </c>
      <c r="C53" s="33"/>
      <c r="D53" s="33"/>
      <c r="E53" s="33"/>
      <c r="F53" s="33"/>
      <c r="G53" s="34"/>
      <c r="H53" s="35" t="s">
        <v>257</v>
      </c>
    </row>
    <row r="54" spans="1:12" s="32" customFormat="1" ht="60" x14ac:dyDescent="0.2">
      <c r="A54" s="148" t="s">
        <v>228</v>
      </c>
      <c r="B54" s="34" t="s">
        <v>231</v>
      </c>
      <c r="C54" s="33"/>
      <c r="D54" s="33"/>
      <c r="E54" s="33"/>
      <c r="F54" s="33"/>
      <c r="G54" s="34"/>
      <c r="H54" s="35"/>
    </row>
    <row r="55" spans="1:12" s="32" customFormat="1" ht="36" x14ac:dyDescent="0.2">
      <c r="A55" s="148" t="s">
        <v>229</v>
      </c>
      <c r="B55" s="34" t="s">
        <v>230</v>
      </c>
      <c r="C55" s="33"/>
      <c r="D55" s="33"/>
      <c r="E55" s="33"/>
      <c r="F55" s="33"/>
      <c r="G55" s="34"/>
      <c r="H55" s="35"/>
    </row>
    <row r="56" spans="1:12" s="32" customFormat="1" ht="12" x14ac:dyDescent="0.2">
      <c r="A56" s="150">
        <v>7</v>
      </c>
      <c r="B56" s="95" t="s">
        <v>0</v>
      </c>
      <c r="C56" s="96"/>
      <c r="D56" s="96"/>
      <c r="E56" s="96"/>
      <c r="F56" s="96"/>
      <c r="G56" s="96"/>
      <c r="H56" s="97"/>
    </row>
    <row r="57" spans="1:12" s="32" customFormat="1" ht="24" x14ac:dyDescent="0.2">
      <c r="A57" s="152">
        <v>7.1</v>
      </c>
      <c r="B57" s="49" t="s">
        <v>301</v>
      </c>
      <c r="C57" s="186"/>
      <c r="D57" s="186"/>
      <c r="E57" s="33"/>
      <c r="F57" s="33"/>
      <c r="G57" s="34"/>
      <c r="H57" s="48"/>
    </row>
    <row r="58" spans="1:12" s="32" customFormat="1" ht="12" x14ac:dyDescent="0.2">
      <c r="A58" s="206" t="s">
        <v>73</v>
      </c>
      <c r="B58" s="207"/>
      <c r="C58" s="145"/>
      <c r="D58" s="145"/>
      <c r="E58" s="145"/>
      <c r="F58" s="145"/>
      <c r="G58" s="146"/>
      <c r="H58" s="147"/>
    </row>
    <row r="59" spans="1:12" s="32" customFormat="1" ht="24" x14ac:dyDescent="0.2">
      <c r="A59" s="152" t="s">
        <v>307</v>
      </c>
      <c r="B59" s="34" t="s">
        <v>109</v>
      </c>
      <c r="C59" s="33"/>
      <c r="D59" s="33"/>
      <c r="E59" s="33"/>
      <c r="F59" s="33"/>
      <c r="G59" s="34"/>
      <c r="H59" s="35"/>
    </row>
    <row r="60" spans="1:12" s="32" customFormat="1" ht="24" x14ac:dyDescent="0.2">
      <c r="A60" s="152" t="s">
        <v>303</v>
      </c>
      <c r="B60" s="34" t="s">
        <v>302</v>
      </c>
      <c r="C60" s="33"/>
      <c r="D60" s="33"/>
      <c r="E60" s="33"/>
      <c r="F60" s="33"/>
      <c r="G60" s="34"/>
      <c r="H60" s="35"/>
    </row>
    <row r="61" spans="1:12" s="32" customFormat="1" ht="12" x14ac:dyDescent="0.2">
      <c r="A61" s="206" t="s">
        <v>72</v>
      </c>
      <c r="B61" s="207"/>
      <c r="C61" s="145"/>
      <c r="D61" s="145"/>
      <c r="E61" s="145"/>
      <c r="F61" s="145"/>
      <c r="G61" s="146"/>
      <c r="H61" s="147"/>
    </row>
    <row r="62" spans="1:12" x14ac:dyDescent="0.25">
      <c r="A62" s="148" t="s">
        <v>304</v>
      </c>
      <c r="B62" s="34" t="s">
        <v>48</v>
      </c>
      <c r="C62" s="33"/>
      <c r="D62" s="33"/>
      <c r="E62" s="33"/>
      <c r="F62" s="33"/>
      <c r="G62" s="34"/>
      <c r="H62" s="35"/>
      <c r="I62" s="32"/>
      <c r="J62" s="32"/>
      <c r="K62" s="32"/>
      <c r="L62" s="32"/>
    </row>
    <row r="63" spans="1:12" x14ac:dyDescent="0.25">
      <c r="A63" s="206" t="s">
        <v>11</v>
      </c>
      <c r="B63" s="207"/>
      <c r="C63" s="145"/>
      <c r="D63" s="145"/>
      <c r="E63" s="145"/>
      <c r="F63" s="145"/>
      <c r="G63" s="146"/>
      <c r="H63" s="147"/>
    </row>
    <row r="64" spans="1:12" x14ac:dyDescent="0.25">
      <c r="A64" s="148" t="s">
        <v>259</v>
      </c>
      <c r="B64" s="34" t="s">
        <v>12</v>
      </c>
      <c r="C64" s="33"/>
      <c r="D64" s="33"/>
      <c r="E64" s="33"/>
      <c r="F64" s="33"/>
      <c r="G64" s="34"/>
      <c r="H64" s="36"/>
    </row>
    <row r="65" spans="1:8" ht="36.75" x14ac:dyDescent="0.25">
      <c r="A65" s="151" t="s">
        <v>305</v>
      </c>
      <c r="B65" s="79" t="s">
        <v>44</v>
      </c>
      <c r="C65" s="138"/>
      <c r="D65" s="138"/>
      <c r="E65" s="138"/>
      <c r="F65" s="138"/>
      <c r="G65" s="79"/>
      <c r="H65" s="139"/>
    </row>
    <row r="66" spans="1:8" x14ac:dyDescent="0.25">
      <c r="A66" s="206" t="s">
        <v>258</v>
      </c>
      <c r="B66" s="207"/>
      <c r="C66" s="145"/>
      <c r="D66" s="145"/>
      <c r="E66" s="145"/>
      <c r="F66" s="145"/>
      <c r="G66" s="146"/>
      <c r="H66" s="147"/>
    </row>
    <row r="67" spans="1:8" ht="36.75" x14ac:dyDescent="0.25">
      <c r="A67" s="148" t="s">
        <v>306</v>
      </c>
      <c r="B67" s="34" t="s">
        <v>260</v>
      </c>
      <c r="C67" s="33"/>
      <c r="D67" s="33"/>
      <c r="E67" s="33"/>
      <c r="F67" s="33"/>
      <c r="G67" s="34"/>
      <c r="H67" s="36"/>
    </row>
    <row r="68" spans="1:8" ht="15.75" thickBot="1" x14ac:dyDescent="0.3">
      <c r="A68" s="204"/>
      <c r="B68" s="205"/>
      <c r="C68" s="142"/>
      <c r="D68" s="142"/>
      <c r="E68" s="142"/>
      <c r="F68" s="142"/>
      <c r="G68" s="143"/>
      <c r="H68" s="144"/>
    </row>
    <row r="69" spans="1:8" x14ac:dyDescent="0.25">
      <c r="A69" s="153"/>
      <c r="B69" s="140"/>
      <c r="C69" s="141"/>
    </row>
    <row r="70" spans="1:8" x14ac:dyDescent="0.25">
      <c r="A70" s="154"/>
      <c r="H70"/>
    </row>
    <row r="71" spans="1:8" x14ac:dyDescent="0.25">
      <c r="H71"/>
    </row>
    <row r="72" spans="1:8" x14ac:dyDescent="0.25">
      <c r="H72"/>
    </row>
    <row r="73" spans="1:8" x14ac:dyDescent="0.25">
      <c r="H73"/>
    </row>
    <row r="74" spans="1:8" x14ac:dyDescent="0.25">
      <c r="H74"/>
    </row>
    <row r="75" spans="1:8" x14ac:dyDescent="0.25">
      <c r="H75"/>
    </row>
    <row r="76" spans="1:8" x14ac:dyDescent="0.25">
      <c r="H76"/>
    </row>
    <row r="77" spans="1:8" x14ac:dyDescent="0.25">
      <c r="H77"/>
    </row>
  </sheetData>
  <mergeCells count="10">
    <mergeCell ref="A68:B68"/>
    <mergeCell ref="A58:B58"/>
    <mergeCell ref="A61:B61"/>
    <mergeCell ref="A66:B66"/>
    <mergeCell ref="A1:H1"/>
    <mergeCell ref="H31:H32"/>
    <mergeCell ref="H28:H29"/>
    <mergeCell ref="H33:H39"/>
    <mergeCell ref="H50:H52"/>
    <mergeCell ref="A63:B6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ABD5D-99D1-4633-B0A9-0229991C7CF8}">
  <dimension ref="A1:Q24"/>
  <sheetViews>
    <sheetView topLeftCell="C6" zoomScale="85" zoomScaleNormal="85" workbookViewId="0">
      <selection activeCell="E6" sqref="E6"/>
    </sheetView>
  </sheetViews>
  <sheetFormatPr defaultColWidth="11.42578125" defaultRowHeight="15" x14ac:dyDescent="0.25"/>
  <cols>
    <col min="1" max="1" width="9.7109375" customWidth="1"/>
    <col min="2" max="2" width="54.28515625" customWidth="1"/>
    <col min="3" max="3" width="33.42578125" customWidth="1"/>
    <col min="4" max="4" width="46.7109375" bestFit="1" customWidth="1"/>
    <col min="5" max="6" width="41.28515625" customWidth="1"/>
    <col min="7" max="7" width="14" bestFit="1" customWidth="1"/>
    <col min="8" max="8" width="11" bestFit="1" customWidth="1"/>
    <col min="9" max="9" width="13.5703125" bestFit="1" customWidth="1"/>
    <col min="10" max="10" width="11" bestFit="1" customWidth="1"/>
    <col min="11" max="11" width="14" bestFit="1" customWidth="1"/>
    <col min="12" max="12" width="16.42578125" customWidth="1"/>
    <col min="13" max="14" width="11" customWidth="1"/>
    <col min="15" max="15" width="13.7109375" customWidth="1"/>
    <col min="16" max="16" width="11.5703125" customWidth="1"/>
    <col min="17" max="17" width="11" customWidth="1"/>
    <col min="246" max="246" width="18.140625" customWidth="1"/>
    <col min="247" max="247" width="63.28515625" customWidth="1"/>
    <col min="248" max="248" width="29.42578125" customWidth="1"/>
    <col min="249" max="251" width="22.28515625" customWidth="1"/>
    <col min="252" max="252" width="22.5703125" customWidth="1"/>
    <col min="253" max="255" width="11.5703125" customWidth="1"/>
    <col min="256" max="256" width="11" customWidth="1"/>
    <col min="258" max="258" width="13.42578125" customWidth="1"/>
    <col min="259" max="259" width="13.140625" customWidth="1"/>
    <col min="260" max="260" width="14.85546875" customWidth="1"/>
    <col min="261" max="262" width="13.42578125" customWidth="1"/>
    <col min="263" max="263" width="16.28515625" customWidth="1"/>
    <col min="502" max="502" width="18.140625" customWidth="1"/>
    <col min="503" max="503" width="63.28515625" customWidth="1"/>
    <col min="504" max="504" width="29.42578125" customWidth="1"/>
    <col min="505" max="507" width="22.28515625" customWidth="1"/>
    <col min="508" max="508" width="22.5703125" customWidth="1"/>
    <col min="509" max="511" width="11.5703125" customWidth="1"/>
    <col min="512" max="512" width="11" customWidth="1"/>
    <col min="514" max="514" width="13.42578125" customWidth="1"/>
    <col min="515" max="515" width="13.140625" customWidth="1"/>
    <col min="516" max="516" width="14.85546875" customWidth="1"/>
    <col min="517" max="518" width="13.42578125" customWidth="1"/>
    <col min="519" max="519" width="16.28515625" customWidth="1"/>
    <col min="758" max="758" width="18.140625" customWidth="1"/>
    <col min="759" max="759" width="63.28515625" customWidth="1"/>
    <col min="760" max="760" width="29.42578125" customWidth="1"/>
    <col min="761" max="763" width="22.28515625" customWidth="1"/>
    <col min="764" max="764" width="22.5703125" customWidth="1"/>
    <col min="765" max="767" width="11.5703125" customWidth="1"/>
    <col min="768" max="768" width="11" customWidth="1"/>
    <col min="770" max="770" width="13.42578125" customWidth="1"/>
    <col min="771" max="771" width="13.140625" customWidth="1"/>
    <col min="772" max="772" width="14.85546875" customWidth="1"/>
    <col min="773" max="774" width="13.42578125" customWidth="1"/>
    <col min="775" max="775" width="16.28515625" customWidth="1"/>
    <col min="1014" max="1014" width="18.140625" customWidth="1"/>
    <col min="1015" max="1015" width="63.28515625" customWidth="1"/>
    <col min="1016" max="1016" width="29.42578125" customWidth="1"/>
    <col min="1017" max="1019" width="22.28515625" customWidth="1"/>
    <col min="1020" max="1020" width="22.5703125" customWidth="1"/>
    <col min="1021" max="1023" width="11.5703125" customWidth="1"/>
    <col min="1024" max="1024" width="11" customWidth="1"/>
    <col min="1026" max="1026" width="13.42578125" customWidth="1"/>
    <col min="1027" max="1027" width="13.140625" customWidth="1"/>
    <col min="1028" max="1028" width="14.85546875" customWidth="1"/>
    <col min="1029" max="1030" width="13.42578125" customWidth="1"/>
    <col min="1031" max="1031" width="16.28515625" customWidth="1"/>
    <col min="1270" max="1270" width="18.140625" customWidth="1"/>
    <col min="1271" max="1271" width="63.28515625" customWidth="1"/>
    <col min="1272" max="1272" width="29.42578125" customWidth="1"/>
    <col min="1273" max="1275" width="22.28515625" customWidth="1"/>
    <col min="1276" max="1276" width="22.5703125" customWidth="1"/>
    <col min="1277" max="1279" width="11.5703125" customWidth="1"/>
    <col min="1280" max="1280" width="11" customWidth="1"/>
    <col min="1282" max="1282" width="13.42578125" customWidth="1"/>
    <col min="1283" max="1283" width="13.140625" customWidth="1"/>
    <col min="1284" max="1284" width="14.85546875" customWidth="1"/>
    <col min="1285" max="1286" width="13.42578125" customWidth="1"/>
    <col min="1287" max="1287" width="16.28515625" customWidth="1"/>
    <col min="1526" max="1526" width="18.140625" customWidth="1"/>
    <col min="1527" max="1527" width="63.28515625" customWidth="1"/>
    <col min="1528" max="1528" width="29.42578125" customWidth="1"/>
    <col min="1529" max="1531" width="22.28515625" customWidth="1"/>
    <col min="1532" max="1532" width="22.5703125" customWidth="1"/>
    <col min="1533" max="1535" width="11.5703125" customWidth="1"/>
    <col min="1536" max="1536" width="11" customWidth="1"/>
    <col min="1538" max="1538" width="13.42578125" customWidth="1"/>
    <col min="1539" max="1539" width="13.140625" customWidth="1"/>
    <col min="1540" max="1540" width="14.85546875" customWidth="1"/>
    <col min="1541" max="1542" width="13.42578125" customWidth="1"/>
    <col min="1543" max="1543" width="16.28515625" customWidth="1"/>
    <col min="1782" max="1782" width="18.140625" customWidth="1"/>
    <col min="1783" max="1783" width="63.28515625" customWidth="1"/>
    <col min="1784" max="1784" width="29.42578125" customWidth="1"/>
    <col min="1785" max="1787" width="22.28515625" customWidth="1"/>
    <col min="1788" max="1788" width="22.5703125" customWidth="1"/>
    <col min="1789" max="1791" width="11.5703125" customWidth="1"/>
    <col min="1792" max="1792" width="11" customWidth="1"/>
    <col min="1794" max="1794" width="13.42578125" customWidth="1"/>
    <col min="1795" max="1795" width="13.140625" customWidth="1"/>
    <col min="1796" max="1796" width="14.85546875" customWidth="1"/>
    <col min="1797" max="1798" width="13.42578125" customWidth="1"/>
    <col min="1799" max="1799" width="16.28515625" customWidth="1"/>
    <col min="2038" max="2038" width="18.140625" customWidth="1"/>
    <col min="2039" max="2039" width="63.28515625" customWidth="1"/>
    <col min="2040" max="2040" width="29.42578125" customWidth="1"/>
    <col min="2041" max="2043" width="22.28515625" customWidth="1"/>
    <col min="2044" max="2044" width="22.5703125" customWidth="1"/>
    <col min="2045" max="2047" width="11.5703125" customWidth="1"/>
    <col min="2048" max="2048" width="11" customWidth="1"/>
    <col min="2050" max="2050" width="13.42578125" customWidth="1"/>
    <col min="2051" max="2051" width="13.140625" customWidth="1"/>
    <col min="2052" max="2052" width="14.85546875" customWidth="1"/>
    <col min="2053" max="2054" width="13.42578125" customWidth="1"/>
    <col min="2055" max="2055" width="16.28515625" customWidth="1"/>
    <col min="2294" max="2294" width="18.140625" customWidth="1"/>
    <col min="2295" max="2295" width="63.28515625" customWidth="1"/>
    <col min="2296" max="2296" width="29.42578125" customWidth="1"/>
    <col min="2297" max="2299" width="22.28515625" customWidth="1"/>
    <col min="2300" max="2300" width="22.5703125" customWidth="1"/>
    <col min="2301" max="2303" width="11.5703125" customWidth="1"/>
    <col min="2304" max="2304" width="11" customWidth="1"/>
    <col min="2306" max="2306" width="13.42578125" customWidth="1"/>
    <col min="2307" max="2307" width="13.140625" customWidth="1"/>
    <col min="2308" max="2308" width="14.85546875" customWidth="1"/>
    <col min="2309" max="2310" width="13.42578125" customWidth="1"/>
    <col min="2311" max="2311" width="16.28515625" customWidth="1"/>
    <col min="2550" max="2550" width="18.140625" customWidth="1"/>
    <col min="2551" max="2551" width="63.28515625" customWidth="1"/>
    <col min="2552" max="2552" width="29.42578125" customWidth="1"/>
    <col min="2553" max="2555" width="22.28515625" customWidth="1"/>
    <col min="2556" max="2556" width="22.5703125" customWidth="1"/>
    <col min="2557" max="2559" width="11.5703125" customWidth="1"/>
    <col min="2560" max="2560" width="11" customWidth="1"/>
    <col min="2562" max="2562" width="13.42578125" customWidth="1"/>
    <col min="2563" max="2563" width="13.140625" customWidth="1"/>
    <col min="2564" max="2564" width="14.85546875" customWidth="1"/>
    <col min="2565" max="2566" width="13.42578125" customWidth="1"/>
    <col min="2567" max="2567" width="16.28515625" customWidth="1"/>
    <col min="2806" max="2806" width="18.140625" customWidth="1"/>
    <col min="2807" max="2807" width="63.28515625" customWidth="1"/>
    <col min="2808" max="2808" width="29.42578125" customWidth="1"/>
    <col min="2809" max="2811" width="22.28515625" customWidth="1"/>
    <col min="2812" max="2812" width="22.5703125" customWidth="1"/>
    <col min="2813" max="2815" width="11.5703125" customWidth="1"/>
    <col min="2816" max="2816" width="11" customWidth="1"/>
    <col min="2818" max="2818" width="13.42578125" customWidth="1"/>
    <col min="2819" max="2819" width="13.140625" customWidth="1"/>
    <col min="2820" max="2820" width="14.85546875" customWidth="1"/>
    <col min="2821" max="2822" width="13.42578125" customWidth="1"/>
    <col min="2823" max="2823" width="16.28515625" customWidth="1"/>
    <col min="3062" max="3062" width="18.140625" customWidth="1"/>
    <col min="3063" max="3063" width="63.28515625" customWidth="1"/>
    <col min="3064" max="3064" width="29.42578125" customWidth="1"/>
    <col min="3065" max="3067" width="22.28515625" customWidth="1"/>
    <col min="3068" max="3068" width="22.5703125" customWidth="1"/>
    <col min="3069" max="3071" width="11.5703125" customWidth="1"/>
    <col min="3072" max="3072" width="11" customWidth="1"/>
    <col min="3074" max="3074" width="13.42578125" customWidth="1"/>
    <col min="3075" max="3075" width="13.140625" customWidth="1"/>
    <col min="3076" max="3076" width="14.85546875" customWidth="1"/>
    <col min="3077" max="3078" width="13.42578125" customWidth="1"/>
    <col min="3079" max="3079" width="16.28515625" customWidth="1"/>
    <col min="3318" max="3318" width="18.140625" customWidth="1"/>
    <col min="3319" max="3319" width="63.28515625" customWidth="1"/>
    <col min="3320" max="3320" width="29.42578125" customWidth="1"/>
    <col min="3321" max="3323" width="22.28515625" customWidth="1"/>
    <col min="3324" max="3324" width="22.5703125" customWidth="1"/>
    <col min="3325" max="3327" width="11.5703125" customWidth="1"/>
    <col min="3328" max="3328" width="11" customWidth="1"/>
    <col min="3330" max="3330" width="13.42578125" customWidth="1"/>
    <col min="3331" max="3331" width="13.140625" customWidth="1"/>
    <col min="3332" max="3332" width="14.85546875" customWidth="1"/>
    <col min="3333" max="3334" width="13.42578125" customWidth="1"/>
    <col min="3335" max="3335" width="16.28515625" customWidth="1"/>
    <col min="3574" max="3574" width="18.140625" customWidth="1"/>
    <col min="3575" max="3575" width="63.28515625" customWidth="1"/>
    <col min="3576" max="3576" width="29.42578125" customWidth="1"/>
    <col min="3577" max="3579" width="22.28515625" customWidth="1"/>
    <col min="3580" max="3580" width="22.5703125" customWidth="1"/>
    <col min="3581" max="3583" width="11.5703125" customWidth="1"/>
    <col min="3584" max="3584" width="11" customWidth="1"/>
    <col min="3586" max="3586" width="13.42578125" customWidth="1"/>
    <col min="3587" max="3587" width="13.140625" customWidth="1"/>
    <col min="3588" max="3588" width="14.85546875" customWidth="1"/>
    <col min="3589" max="3590" width="13.42578125" customWidth="1"/>
    <col min="3591" max="3591" width="16.28515625" customWidth="1"/>
    <col min="3830" max="3830" width="18.140625" customWidth="1"/>
    <col min="3831" max="3831" width="63.28515625" customWidth="1"/>
    <col min="3832" max="3832" width="29.42578125" customWidth="1"/>
    <col min="3833" max="3835" width="22.28515625" customWidth="1"/>
    <col min="3836" max="3836" width="22.5703125" customWidth="1"/>
    <col min="3837" max="3839" width="11.5703125" customWidth="1"/>
    <col min="3840" max="3840" width="11" customWidth="1"/>
    <col min="3842" max="3842" width="13.42578125" customWidth="1"/>
    <col min="3843" max="3843" width="13.140625" customWidth="1"/>
    <col min="3844" max="3844" width="14.85546875" customWidth="1"/>
    <col min="3845" max="3846" width="13.42578125" customWidth="1"/>
    <col min="3847" max="3847" width="16.28515625" customWidth="1"/>
    <col min="4086" max="4086" width="18.140625" customWidth="1"/>
    <col min="4087" max="4087" width="63.28515625" customWidth="1"/>
    <col min="4088" max="4088" width="29.42578125" customWidth="1"/>
    <col min="4089" max="4091" width="22.28515625" customWidth="1"/>
    <col min="4092" max="4092" width="22.5703125" customWidth="1"/>
    <col min="4093" max="4095" width="11.5703125" customWidth="1"/>
    <col min="4096" max="4096" width="11" customWidth="1"/>
    <col min="4098" max="4098" width="13.42578125" customWidth="1"/>
    <col min="4099" max="4099" width="13.140625" customWidth="1"/>
    <col min="4100" max="4100" width="14.85546875" customWidth="1"/>
    <col min="4101" max="4102" width="13.42578125" customWidth="1"/>
    <col min="4103" max="4103" width="16.28515625" customWidth="1"/>
    <col min="4342" max="4342" width="18.140625" customWidth="1"/>
    <col min="4343" max="4343" width="63.28515625" customWidth="1"/>
    <col min="4344" max="4344" width="29.42578125" customWidth="1"/>
    <col min="4345" max="4347" width="22.28515625" customWidth="1"/>
    <col min="4348" max="4348" width="22.5703125" customWidth="1"/>
    <col min="4349" max="4351" width="11.5703125" customWidth="1"/>
    <col min="4352" max="4352" width="11" customWidth="1"/>
    <col min="4354" max="4354" width="13.42578125" customWidth="1"/>
    <col min="4355" max="4355" width="13.140625" customWidth="1"/>
    <col min="4356" max="4356" width="14.85546875" customWidth="1"/>
    <col min="4357" max="4358" width="13.42578125" customWidth="1"/>
    <col min="4359" max="4359" width="16.28515625" customWidth="1"/>
    <col min="4598" max="4598" width="18.140625" customWidth="1"/>
    <col min="4599" max="4599" width="63.28515625" customWidth="1"/>
    <col min="4600" max="4600" width="29.42578125" customWidth="1"/>
    <col min="4601" max="4603" width="22.28515625" customWidth="1"/>
    <col min="4604" max="4604" width="22.5703125" customWidth="1"/>
    <col min="4605" max="4607" width="11.5703125" customWidth="1"/>
    <col min="4608" max="4608" width="11" customWidth="1"/>
    <col min="4610" max="4610" width="13.42578125" customWidth="1"/>
    <col min="4611" max="4611" width="13.140625" customWidth="1"/>
    <col min="4612" max="4612" width="14.85546875" customWidth="1"/>
    <col min="4613" max="4614" width="13.42578125" customWidth="1"/>
    <col min="4615" max="4615" width="16.28515625" customWidth="1"/>
    <col min="4854" max="4854" width="18.140625" customWidth="1"/>
    <col min="4855" max="4855" width="63.28515625" customWidth="1"/>
    <col min="4856" max="4856" width="29.42578125" customWidth="1"/>
    <col min="4857" max="4859" width="22.28515625" customWidth="1"/>
    <col min="4860" max="4860" width="22.5703125" customWidth="1"/>
    <col min="4861" max="4863" width="11.5703125" customWidth="1"/>
    <col min="4864" max="4864" width="11" customWidth="1"/>
    <col min="4866" max="4866" width="13.42578125" customWidth="1"/>
    <col min="4867" max="4867" width="13.140625" customWidth="1"/>
    <col min="4868" max="4868" width="14.85546875" customWidth="1"/>
    <col min="4869" max="4870" width="13.42578125" customWidth="1"/>
    <col min="4871" max="4871" width="16.28515625" customWidth="1"/>
    <col min="5110" max="5110" width="18.140625" customWidth="1"/>
    <col min="5111" max="5111" width="63.28515625" customWidth="1"/>
    <col min="5112" max="5112" width="29.42578125" customWidth="1"/>
    <col min="5113" max="5115" width="22.28515625" customWidth="1"/>
    <col min="5116" max="5116" width="22.5703125" customWidth="1"/>
    <col min="5117" max="5119" width="11.5703125" customWidth="1"/>
    <col min="5120" max="5120" width="11" customWidth="1"/>
    <col min="5122" max="5122" width="13.42578125" customWidth="1"/>
    <col min="5123" max="5123" width="13.140625" customWidth="1"/>
    <col min="5124" max="5124" width="14.85546875" customWidth="1"/>
    <col min="5125" max="5126" width="13.42578125" customWidth="1"/>
    <col min="5127" max="5127" width="16.28515625" customWidth="1"/>
    <col min="5366" max="5366" width="18.140625" customWidth="1"/>
    <col min="5367" max="5367" width="63.28515625" customWidth="1"/>
    <col min="5368" max="5368" width="29.42578125" customWidth="1"/>
    <col min="5369" max="5371" width="22.28515625" customWidth="1"/>
    <col min="5372" max="5372" width="22.5703125" customWidth="1"/>
    <col min="5373" max="5375" width="11.5703125" customWidth="1"/>
    <col min="5376" max="5376" width="11" customWidth="1"/>
    <col min="5378" max="5378" width="13.42578125" customWidth="1"/>
    <col min="5379" max="5379" width="13.140625" customWidth="1"/>
    <col min="5380" max="5380" width="14.85546875" customWidth="1"/>
    <col min="5381" max="5382" width="13.42578125" customWidth="1"/>
    <col min="5383" max="5383" width="16.28515625" customWidth="1"/>
    <col min="5622" max="5622" width="18.140625" customWidth="1"/>
    <col min="5623" max="5623" width="63.28515625" customWidth="1"/>
    <col min="5624" max="5624" width="29.42578125" customWidth="1"/>
    <col min="5625" max="5627" width="22.28515625" customWidth="1"/>
    <col min="5628" max="5628" width="22.5703125" customWidth="1"/>
    <col min="5629" max="5631" width="11.5703125" customWidth="1"/>
    <col min="5632" max="5632" width="11" customWidth="1"/>
    <col min="5634" max="5634" width="13.42578125" customWidth="1"/>
    <col min="5635" max="5635" width="13.140625" customWidth="1"/>
    <col min="5636" max="5636" width="14.85546875" customWidth="1"/>
    <col min="5637" max="5638" width="13.42578125" customWidth="1"/>
    <col min="5639" max="5639" width="16.28515625" customWidth="1"/>
    <col min="5878" max="5878" width="18.140625" customWidth="1"/>
    <col min="5879" max="5879" width="63.28515625" customWidth="1"/>
    <col min="5880" max="5880" width="29.42578125" customWidth="1"/>
    <col min="5881" max="5883" width="22.28515625" customWidth="1"/>
    <col min="5884" max="5884" width="22.5703125" customWidth="1"/>
    <col min="5885" max="5887" width="11.5703125" customWidth="1"/>
    <col min="5888" max="5888" width="11" customWidth="1"/>
    <col min="5890" max="5890" width="13.42578125" customWidth="1"/>
    <col min="5891" max="5891" width="13.140625" customWidth="1"/>
    <col min="5892" max="5892" width="14.85546875" customWidth="1"/>
    <col min="5893" max="5894" width="13.42578125" customWidth="1"/>
    <col min="5895" max="5895" width="16.28515625" customWidth="1"/>
    <col min="6134" max="6134" width="18.140625" customWidth="1"/>
    <col min="6135" max="6135" width="63.28515625" customWidth="1"/>
    <col min="6136" max="6136" width="29.42578125" customWidth="1"/>
    <col min="6137" max="6139" width="22.28515625" customWidth="1"/>
    <col min="6140" max="6140" width="22.5703125" customWidth="1"/>
    <col min="6141" max="6143" width="11.5703125" customWidth="1"/>
    <col min="6144" max="6144" width="11" customWidth="1"/>
    <col min="6146" max="6146" width="13.42578125" customWidth="1"/>
    <col min="6147" max="6147" width="13.140625" customWidth="1"/>
    <col min="6148" max="6148" width="14.85546875" customWidth="1"/>
    <col min="6149" max="6150" width="13.42578125" customWidth="1"/>
    <col min="6151" max="6151" width="16.28515625" customWidth="1"/>
    <col min="6390" max="6390" width="18.140625" customWidth="1"/>
    <col min="6391" max="6391" width="63.28515625" customWidth="1"/>
    <col min="6392" max="6392" width="29.42578125" customWidth="1"/>
    <col min="6393" max="6395" width="22.28515625" customWidth="1"/>
    <col min="6396" max="6396" width="22.5703125" customWidth="1"/>
    <col min="6397" max="6399" width="11.5703125" customWidth="1"/>
    <col min="6400" max="6400" width="11" customWidth="1"/>
    <col min="6402" max="6402" width="13.42578125" customWidth="1"/>
    <col min="6403" max="6403" width="13.140625" customWidth="1"/>
    <col min="6404" max="6404" width="14.85546875" customWidth="1"/>
    <col min="6405" max="6406" width="13.42578125" customWidth="1"/>
    <col min="6407" max="6407" width="16.28515625" customWidth="1"/>
    <col min="6646" max="6646" width="18.140625" customWidth="1"/>
    <col min="6647" max="6647" width="63.28515625" customWidth="1"/>
    <col min="6648" max="6648" width="29.42578125" customWidth="1"/>
    <col min="6649" max="6651" width="22.28515625" customWidth="1"/>
    <col min="6652" max="6652" width="22.5703125" customWidth="1"/>
    <col min="6653" max="6655" width="11.5703125" customWidth="1"/>
    <col min="6656" max="6656" width="11" customWidth="1"/>
    <col min="6658" max="6658" width="13.42578125" customWidth="1"/>
    <col min="6659" max="6659" width="13.140625" customWidth="1"/>
    <col min="6660" max="6660" width="14.85546875" customWidth="1"/>
    <col min="6661" max="6662" width="13.42578125" customWidth="1"/>
    <col min="6663" max="6663" width="16.28515625" customWidth="1"/>
    <col min="6902" max="6902" width="18.140625" customWidth="1"/>
    <col min="6903" max="6903" width="63.28515625" customWidth="1"/>
    <col min="6904" max="6904" width="29.42578125" customWidth="1"/>
    <col min="6905" max="6907" width="22.28515625" customWidth="1"/>
    <col min="6908" max="6908" width="22.5703125" customWidth="1"/>
    <col min="6909" max="6911" width="11.5703125" customWidth="1"/>
    <col min="6912" max="6912" width="11" customWidth="1"/>
    <col min="6914" max="6914" width="13.42578125" customWidth="1"/>
    <col min="6915" max="6915" width="13.140625" customWidth="1"/>
    <col min="6916" max="6916" width="14.85546875" customWidth="1"/>
    <col min="6917" max="6918" width="13.42578125" customWidth="1"/>
    <col min="6919" max="6919" width="16.28515625" customWidth="1"/>
    <col min="7158" max="7158" width="18.140625" customWidth="1"/>
    <col min="7159" max="7159" width="63.28515625" customWidth="1"/>
    <col min="7160" max="7160" width="29.42578125" customWidth="1"/>
    <col min="7161" max="7163" width="22.28515625" customWidth="1"/>
    <col min="7164" max="7164" width="22.5703125" customWidth="1"/>
    <col min="7165" max="7167" width="11.5703125" customWidth="1"/>
    <col min="7168" max="7168" width="11" customWidth="1"/>
    <col min="7170" max="7170" width="13.42578125" customWidth="1"/>
    <col min="7171" max="7171" width="13.140625" customWidth="1"/>
    <col min="7172" max="7172" width="14.85546875" customWidth="1"/>
    <col min="7173" max="7174" width="13.42578125" customWidth="1"/>
    <col min="7175" max="7175" width="16.28515625" customWidth="1"/>
    <col min="7414" max="7414" width="18.140625" customWidth="1"/>
    <col min="7415" max="7415" width="63.28515625" customWidth="1"/>
    <col min="7416" max="7416" width="29.42578125" customWidth="1"/>
    <col min="7417" max="7419" width="22.28515625" customWidth="1"/>
    <col min="7420" max="7420" width="22.5703125" customWidth="1"/>
    <col min="7421" max="7423" width="11.5703125" customWidth="1"/>
    <col min="7424" max="7424" width="11" customWidth="1"/>
    <col min="7426" max="7426" width="13.42578125" customWidth="1"/>
    <col min="7427" max="7427" width="13.140625" customWidth="1"/>
    <col min="7428" max="7428" width="14.85546875" customWidth="1"/>
    <col min="7429" max="7430" width="13.42578125" customWidth="1"/>
    <col min="7431" max="7431" width="16.28515625" customWidth="1"/>
    <col min="7670" max="7670" width="18.140625" customWidth="1"/>
    <col min="7671" max="7671" width="63.28515625" customWidth="1"/>
    <col min="7672" max="7672" width="29.42578125" customWidth="1"/>
    <col min="7673" max="7675" width="22.28515625" customWidth="1"/>
    <col min="7676" max="7676" width="22.5703125" customWidth="1"/>
    <col min="7677" max="7679" width="11.5703125" customWidth="1"/>
    <col min="7680" max="7680" width="11" customWidth="1"/>
    <col min="7682" max="7682" width="13.42578125" customWidth="1"/>
    <col min="7683" max="7683" width="13.140625" customWidth="1"/>
    <col min="7684" max="7684" width="14.85546875" customWidth="1"/>
    <col min="7685" max="7686" width="13.42578125" customWidth="1"/>
    <col min="7687" max="7687" width="16.28515625" customWidth="1"/>
    <col min="7926" max="7926" width="18.140625" customWidth="1"/>
    <col min="7927" max="7927" width="63.28515625" customWidth="1"/>
    <col min="7928" max="7928" width="29.42578125" customWidth="1"/>
    <col min="7929" max="7931" width="22.28515625" customWidth="1"/>
    <col min="7932" max="7932" width="22.5703125" customWidth="1"/>
    <col min="7933" max="7935" width="11.5703125" customWidth="1"/>
    <col min="7936" max="7936" width="11" customWidth="1"/>
    <col min="7938" max="7938" width="13.42578125" customWidth="1"/>
    <col min="7939" max="7939" width="13.140625" customWidth="1"/>
    <col min="7940" max="7940" width="14.85546875" customWidth="1"/>
    <col min="7941" max="7942" width="13.42578125" customWidth="1"/>
    <col min="7943" max="7943" width="16.28515625" customWidth="1"/>
    <col min="8182" max="8182" width="18.140625" customWidth="1"/>
    <col min="8183" max="8183" width="63.28515625" customWidth="1"/>
    <col min="8184" max="8184" width="29.42578125" customWidth="1"/>
    <col min="8185" max="8187" width="22.28515625" customWidth="1"/>
    <col min="8188" max="8188" width="22.5703125" customWidth="1"/>
    <col min="8189" max="8191" width="11.5703125" customWidth="1"/>
    <col min="8192" max="8192" width="11" customWidth="1"/>
    <col min="8194" max="8194" width="13.42578125" customWidth="1"/>
    <col min="8195" max="8195" width="13.140625" customWidth="1"/>
    <col min="8196" max="8196" width="14.85546875" customWidth="1"/>
    <col min="8197" max="8198" width="13.42578125" customWidth="1"/>
    <col min="8199" max="8199" width="16.28515625" customWidth="1"/>
    <col min="8438" max="8438" width="18.140625" customWidth="1"/>
    <col min="8439" max="8439" width="63.28515625" customWidth="1"/>
    <col min="8440" max="8440" width="29.42578125" customWidth="1"/>
    <col min="8441" max="8443" width="22.28515625" customWidth="1"/>
    <col min="8444" max="8444" width="22.5703125" customWidth="1"/>
    <col min="8445" max="8447" width="11.5703125" customWidth="1"/>
    <col min="8448" max="8448" width="11" customWidth="1"/>
    <col min="8450" max="8450" width="13.42578125" customWidth="1"/>
    <col min="8451" max="8451" width="13.140625" customWidth="1"/>
    <col min="8452" max="8452" width="14.85546875" customWidth="1"/>
    <col min="8453" max="8454" width="13.42578125" customWidth="1"/>
    <col min="8455" max="8455" width="16.28515625" customWidth="1"/>
    <col min="8694" max="8694" width="18.140625" customWidth="1"/>
    <col min="8695" max="8695" width="63.28515625" customWidth="1"/>
    <col min="8696" max="8696" width="29.42578125" customWidth="1"/>
    <col min="8697" max="8699" width="22.28515625" customWidth="1"/>
    <col min="8700" max="8700" width="22.5703125" customWidth="1"/>
    <col min="8701" max="8703" width="11.5703125" customWidth="1"/>
    <col min="8704" max="8704" width="11" customWidth="1"/>
    <col min="8706" max="8706" width="13.42578125" customWidth="1"/>
    <col min="8707" max="8707" width="13.140625" customWidth="1"/>
    <col min="8708" max="8708" width="14.85546875" customWidth="1"/>
    <col min="8709" max="8710" width="13.42578125" customWidth="1"/>
    <col min="8711" max="8711" width="16.28515625" customWidth="1"/>
    <col min="8950" max="8950" width="18.140625" customWidth="1"/>
    <col min="8951" max="8951" width="63.28515625" customWidth="1"/>
    <col min="8952" max="8952" width="29.42578125" customWidth="1"/>
    <col min="8953" max="8955" width="22.28515625" customWidth="1"/>
    <col min="8956" max="8956" width="22.5703125" customWidth="1"/>
    <col min="8957" max="8959" width="11.5703125" customWidth="1"/>
    <col min="8960" max="8960" width="11" customWidth="1"/>
    <col min="8962" max="8962" width="13.42578125" customWidth="1"/>
    <col min="8963" max="8963" width="13.140625" customWidth="1"/>
    <col min="8964" max="8964" width="14.85546875" customWidth="1"/>
    <col min="8965" max="8966" width="13.42578125" customWidth="1"/>
    <col min="8967" max="8967" width="16.28515625" customWidth="1"/>
    <col min="9206" max="9206" width="18.140625" customWidth="1"/>
    <col min="9207" max="9207" width="63.28515625" customWidth="1"/>
    <col min="9208" max="9208" width="29.42578125" customWidth="1"/>
    <col min="9209" max="9211" width="22.28515625" customWidth="1"/>
    <col min="9212" max="9212" width="22.5703125" customWidth="1"/>
    <col min="9213" max="9215" width="11.5703125" customWidth="1"/>
    <col min="9216" max="9216" width="11" customWidth="1"/>
    <col min="9218" max="9218" width="13.42578125" customWidth="1"/>
    <col min="9219" max="9219" width="13.140625" customWidth="1"/>
    <col min="9220" max="9220" width="14.85546875" customWidth="1"/>
    <col min="9221" max="9222" width="13.42578125" customWidth="1"/>
    <col min="9223" max="9223" width="16.28515625" customWidth="1"/>
    <col min="9462" max="9462" width="18.140625" customWidth="1"/>
    <col min="9463" max="9463" width="63.28515625" customWidth="1"/>
    <col min="9464" max="9464" width="29.42578125" customWidth="1"/>
    <col min="9465" max="9467" width="22.28515625" customWidth="1"/>
    <col min="9468" max="9468" width="22.5703125" customWidth="1"/>
    <col min="9469" max="9471" width="11.5703125" customWidth="1"/>
    <col min="9472" max="9472" width="11" customWidth="1"/>
    <col min="9474" max="9474" width="13.42578125" customWidth="1"/>
    <col min="9475" max="9475" width="13.140625" customWidth="1"/>
    <col min="9476" max="9476" width="14.85546875" customWidth="1"/>
    <col min="9477" max="9478" width="13.42578125" customWidth="1"/>
    <col min="9479" max="9479" width="16.28515625" customWidth="1"/>
    <col min="9718" max="9718" width="18.140625" customWidth="1"/>
    <col min="9719" max="9719" width="63.28515625" customWidth="1"/>
    <col min="9720" max="9720" width="29.42578125" customWidth="1"/>
    <col min="9721" max="9723" width="22.28515625" customWidth="1"/>
    <col min="9724" max="9724" width="22.5703125" customWidth="1"/>
    <col min="9725" max="9727" width="11.5703125" customWidth="1"/>
    <col min="9728" max="9728" width="11" customWidth="1"/>
    <col min="9730" max="9730" width="13.42578125" customWidth="1"/>
    <col min="9731" max="9731" width="13.140625" customWidth="1"/>
    <col min="9732" max="9732" width="14.85546875" customWidth="1"/>
    <col min="9733" max="9734" width="13.42578125" customWidth="1"/>
    <col min="9735" max="9735" width="16.28515625" customWidth="1"/>
    <col min="9974" max="9974" width="18.140625" customWidth="1"/>
    <col min="9975" max="9975" width="63.28515625" customWidth="1"/>
    <col min="9976" max="9976" width="29.42578125" customWidth="1"/>
    <col min="9977" max="9979" width="22.28515625" customWidth="1"/>
    <col min="9980" max="9980" width="22.5703125" customWidth="1"/>
    <col min="9981" max="9983" width="11.5703125" customWidth="1"/>
    <col min="9984" max="9984" width="11" customWidth="1"/>
    <col min="9986" max="9986" width="13.42578125" customWidth="1"/>
    <col min="9987" max="9987" width="13.140625" customWidth="1"/>
    <col min="9988" max="9988" width="14.85546875" customWidth="1"/>
    <col min="9989" max="9990" width="13.42578125" customWidth="1"/>
    <col min="9991" max="9991" width="16.28515625" customWidth="1"/>
    <col min="10230" max="10230" width="18.140625" customWidth="1"/>
    <col min="10231" max="10231" width="63.28515625" customWidth="1"/>
    <col min="10232" max="10232" width="29.42578125" customWidth="1"/>
    <col min="10233" max="10235" width="22.28515625" customWidth="1"/>
    <col min="10236" max="10236" width="22.5703125" customWidth="1"/>
    <col min="10237" max="10239" width="11.5703125" customWidth="1"/>
    <col min="10240" max="10240" width="11" customWidth="1"/>
    <col min="10242" max="10242" width="13.42578125" customWidth="1"/>
    <col min="10243" max="10243" width="13.140625" customWidth="1"/>
    <col min="10244" max="10244" width="14.85546875" customWidth="1"/>
    <col min="10245" max="10246" width="13.42578125" customWidth="1"/>
    <col min="10247" max="10247" width="16.28515625" customWidth="1"/>
    <col min="10486" max="10486" width="18.140625" customWidth="1"/>
    <col min="10487" max="10487" width="63.28515625" customWidth="1"/>
    <col min="10488" max="10488" width="29.42578125" customWidth="1"/>
    <col min="10489" max="10491" width="22.28515625" customWidth="1"/>
    <col min="10492" max="10492" width="22.5703125" customWidth="1"/>
    <col min="10493" max="10495" width="11.5703125" customWidth="1"/>
    <col min="10496" max="10496" width="11" customWidth="1"/>
    <col min="10498" max="10498" width="13.42578125" customWidth="1"/>
    <col min="10499" max="10499" width="13.140625" customWidth="1"/>
    <col min="10500" max="10500" width="14.85546875" customWidth="1"/>
    <col min="10501" max="10502" width="13.42578125" customWidth="1"/>
    <col min="10503" max="10503" width="16.28515625" customWidth="1"/>
    <col min="10742" max="10742" width="18.140625" customWidth="1"/>
    <col min="10743" max="10743" width="63.28515625" customWidth="1"/>
    <col min="10744" max="10744" width="29.42578125" customWidth="1"/>
    <col min="10745" max="10747" width="22.28515625" customWidth="1"/>
    <col min="10748" max="10748" width="22.5703125" customWidth="1"/>
    <col min="10749" max="10751" width="11.5703125" customWidth="1"/>
    <col min="10752" max="10752" width="11" customWidth="1"/>
    <col min="10754" max="10754" width="13.42578125" customWidth="1"/>
    <col min="10755" max="10755" width="13.140625" customWidth="1"/>
    <col min="10756" max="10756" width="14.85546875" customWidth="1"/>
    <col min="10757" max="10758" width="13.42578125" customWidth="1"/>
    <col min="10759" max="10759" width="16.28515625" customWidth="1"/>
    <col min="10998" max="10998" width="18.140625" customWidth="1"/>
    <col min="10999" max="10999" width="63.28515625" customWidth="1"/>
    <col min="11000" max="11000" width="29.42578125" customWidth="1"/>
    <col min="11001" max="11003" width="22.28515625" customWidth="1"/>
    <col min="11004" max="11004" width="22.5703125" customWidth="1"/>
    <col min="11005" max="11007" width="11.5703125" customWidth="1"/>
    <col min="11008" max="11008" width="11" customWidth="1"/>
    <col min="11010" max="11010" width="13.42578125" customWidth="1"/>
    <col min="11011" max="11011" width="13.140625" customWidth="1"/>
    <col min="11012" max="11012" width="14.85546875" customWidth="1"/>
    <col min="11013" max="11014" width="13.42578125" customWidth="1"/>
    <col min="11015" max="11015" width="16.28515625" customWidth="1"/>
    <col min="11254" max="11254" width="18.140625" customWidth="1"/>
    <col min="11255" max="11255" width="63.28515625" customWidth="1"/>
    <col min="11256" max="11256" width="29.42578125" customWidth="1"/>
    <col min="11257" max="11259" width="22.28515625" customWidth="1"/>
    <col min="11260" max="11260" width="22.5703125" customWidth="1"/>
    <col min="11261" max="11263" width="11.5703125" customWidth="1"/>
    <col min="11264" max="11264" width="11" customWidth="1"/>
    <col min="11266" max="11266" width="13.42578125" customWidth="1"/>
    <col min="11267" max="11267" width="13.140625" customWidth="1"/>
    <col min="11268" max="11268" width="14.85546875" customWidth="1"/>
    <col min="11269" max="11270" width="13.42578125" customWidth="1"/>
    <col min="11271" max="11271" width="16.28515625" customWidth="1"/>
    <col min="11510" max="11510" width="18.140625" customWidth="1"/>
    <col min="11511" max="11511" width="63.28515625" customWidth="1"/>
    <col min="11512" max="11512" width="29.42578125" customWidth="1"/>
    <col min="11513" max="11515" width="22.28515625" customWidth="1"/>
    <col min="11516" max="11516" width="22.5703125" customWidth="1"/>
    <col min="11517" max="11519" width="11.5703125" customWidth="1"/>
    <col min="11520" max="11520" width="11" customWidth="1"/>
    <col min="11522" max="11522" width="13.42578125" customWidth="1"/>
    <col min="11523" max="11523" width="13.140625" customWidth="1"/>
    <col min="11524" max="11524" width="14.85546875" customWidth="1"/>
    <col min="11525" max="11526" width="13.42578125" customWidth="1"/>
    <col min="11527" max="11527" width="16.28515625" customWidth="1"/>
    <col min="11766" max="11766" width="18.140625" customWidth="1"/>
    <col min="11767" max="11767" width="63.28515625" customWidth="1"/>
    <col min="11768" max="11768" width="29.42578125" customWidth="1"/>
    <col min="11769" max="11771" width="22.28515625" customWidth="1"/>
    <col min="11772" max="11772" width="22.5703125" customWidth="1"/>
    <col min="11773" max="11775" width="11.5703125" customWidth="1"/>
    <col min="11776" max="11776" width="11" customWidth="1"/>
    <col min="11778" max="11778" width="13.42578125" customWidth="1"/>
    <col min="11779" max="11779" width="13.140625" customWidth="1"/>
    <col min="11780" max="11780" width="14.85546875" customWidth="1"/>
    <col min="11781" max="11782" width="13.42578125" customWidth="1"/>
    <col min="11783" max="11783" width="16.28515625" customWidth="1"/>
    <col min="12022" max="12022" width="18.140625" customWidth="1"/>
    <col min="12023" max="12023" width="63.28515625" customWidth="1"/>
    <col min="12024" max="12024" width="29.42578125" customWidth="1"/>
    <col min="12025" max="12027" width="22.28515625" customWidth="1"/>
    <col min="12028" max="12028" width="22.5703125" customWidth="1"/>
    <col min="12029" max="12031" width="11.5703125" customWidth="1"/>
    <col min="12032" max="12032" width="11" customWidth="1"/>
    <col min="12034" max="12034" width="13.42578125" customWidth="1"/>
    <col min="12035" max="12035" width="13.140625" customWidth="1"/>
    <col min="12036" max="12036" width="14.85546875" customWidth="1"/>
    <col min="12037" max="12038" width="13.42578125" customWidth="1"/>
    <col min="12039" max="12039" width="16.28515625" customWidth="1"/>
    <col min="12278" max="12278" width="18.140625" customWidth="1"/>
    <col min="12279" max="12279" width="63.28515625" customWidth="1"/>
    <col min="12280" max="12280" width="29.42578125" customWidth="1"/>
    <col min="12281" max="12283" width="22.28515625" customWidth="1"/>
    <col min="12284" max="12284" width="22.5703125" customWidth="1"/>
    <col min="12285" max="12287" width="11.5703125" customWidth="1"/>
    <col min="12288" max="12288" width="11" customWidth="1"/>
    <col min="12290" max="12290" width="13.42578125" customWidth="1"/>
    <col min="12291" max="12291" width="13.140625" customWidth="1"/>
    <col min="12292" max="12292" width="14.85546875" customWidth="1"/>
    <col min="12293" max="12294" width="13.42578125" customWidth="1"/>
    <col min="12295" max="12295" width="16.28515625" customWidth="1"/>
    <col min="12534" max="12534" width="18.140625" customWidth="1"/>
    <col min="12535" max="12535" width="63.28515625" customWidth="1"/>
    <col min="12536" max="12536" width="29.42578125" customWidth="1"/>
    <col min="12537" max="12539" width="22.28515625" customWidth="1"/>
    <col min="12540" max="12540" width="22.5703125" customWidth="1"/>
    <col min="12541" max="12543" width="11.5703125" customWidth="1"/>
    <col min="12544" max="12544" width="11" customWidth="1"/>
    <col min="12546" max="12546" width="13.42578125" customWidth="1"/>
    <col min="12547" max="12547" width="13.140625" customWidth="1"/>
    <col min="12548" max="12548" width="14.85546875" customWidth="1"/>
    <col min="12549" max="12550" width="13.42578125" customWidth="1"/>
    <col min="12551" max="12551" width="16.28515625" customWidth="1"/>
    <col min="12790" max="12790" width="18.140625" customWidth="1"/>
    <col min="12791" max="12791" width="63.28515625" customWidth="1"/>
    <col min="12792" max="12792" width="29.42578125" customWidth="1"/>
    <col min="12793" max="12795" width="22.28515625" customWidth="1"/>
    <col min="12796" max="12796" width="22.5703125" customWidth="1"/>
    <col min="12797" max="12799" width="11.5703125" customWidth="1"/>
    <col min="12800" max="12800" width="11" customWidth="1"/>
    <col min="12802" max="12802" width="13.42578125" customWidth="1"/>
    <col min="12803" max="12803" width="13.140625" customWidth="1"/>
    <col min="12804" max="12804" width="14.85546875" customWidth="1"/>
    <col min="12805" max="12806" width="13.42578125" customWidth="1"/>
    <col min="12807" max="12807" width="16.28515625" customWidth="1"/>
    <col min="13046" max="13046" width="18.140625" customWidth="1"/>
    <col min="13047" max="13047" width="63.28515625" customWidth="1"/>
    <col min="13048" max="13048" width="29.42578125" customWidth="1"/>
    <col min="13049" max="13051" width="22.28515625" customWidth="1"/>
    <col min="13052" max="13052" width="22.5703125" customWidth="1"/>
    <col min="13053" max="13055" width="11.5703125" customWidth="1"/>
    <col min="13056" max="13056" width="11" customWidth="1"/>
    <col min="13058" max="13058" width="13.42578125" customWidth="1"/>
    <col min="13059" max="13059" width="13.140625" customWidth="1"/>
    <col min="13060" max="13060" width="14.85546875" customWidth="1"/>
    <col min="13061" max="13062" width="13.42578125" customWidth="1"/>
    <col min="13063" max="13063" width="16.28515625" customWidth="1"/>
    <col min="13302" max="13302" width="18.140625" customWidth="1"/>
    <col min="13303" max="13303" width="63.28515625" customWidth="1"/>
    <col min="13304" max="13304" width="29.42578125" customWidth="1"/>
    <col min="13305" max="13307" width="22.28515625" customWidth="1"/>
    <col min="13308" max="13308" width="22.5703125" customWidth="1"/>
    <col min="13309" max="13311" width="11.5703125" customWidth="1"/>
    <col min="13312" max="13312" width="11" customWidth="1"/>
    <col min="13314" max="13314" width="13.42578125" customWidth="1"/>
    <col min="13315" max="13315" width="13.140625" customWidth="1"/>
    <col min="13316" max="13316" width="14.85546875" customWidth="1"/>
    <col min="13317" max="13318" width="13.42578125" customWidth="1"/>
    <col min="13319" max="13319" width="16.28515625" customWidth="1"/>
    <col min="13558" max="13558" width="18.140625" customWidth="1"/>
    <col min="13559" max="13559" width="63.28515625" customWidth="1"/>
    <col min="13560" max="13560" width="29.42578125" customWidth="1"/>
    <col min="13561" max="13563" width="22.28515625" customWidth="1"/>
    <col min="13564" max="13564" width="22.5703125" customWidth="1"/>
    <col min="13565" max="13567" width="11.5703125" customWidth="1"/>
    <col min="13568" max="13568" width="11" customWidth="1"/>
    <col min="13570" max="13570" width="13.42578125" customWidth="1"/>
    <col min="13571" max="13571" width="13.140625" customWidth="1"/>
    <col min="13572" max="13572" width="14.85546875" customWidth="1"/>
    <col min="13573" max="13574" width="13.42578125" customWidth="1"/>
    <col min="13575" max="13575" width="16.28515625" customWidth="1"/>
    <col min="13814" max="13814" width="18.140625" customWidth="1"/>
    <col min="13815" max="13815" width="63.28515625" customWidth="1"/>
    <col min="13816" max="13816" width="29.42578125" customWidth="1"/>
    <col min="13817" max="13819" width="22.28515625" customWidth="1"/>
    <col min="13820" max="13820" width="22.5703125" customWidth="1"/>
    <col min="13821" max="13823" width="11.5703125" customWidth="1"/>
    <col min="13824" max="13824" width="11" customWidth="1"/>
    <col min="13826" max="13826" width="13.42578125" customWidth="1"/>
    <col min="13827" max="13827" width="13.140625" customWidth="1"/>
    <col min="13828" max="13828" width="14.85546875" customWidth="1"/>
    <col min="13829" max="13830" width="13.42578125" customWidth="1"/>
    <col min="13831" max="13831" width="16.28515625" customWidth="1"/>
    <col min="14070" max="14070" width="18.140625" customWidth="1"/>
    <col min="14071" max="14071" width="63.28515625" customWidth="1"/>
    <col min="14072" max="14072" width="29.42578125" customWidth="1"/>
    <col min="14073" max="14075" width="22.28515625" customWidth="1"/>
    <col min="14076" max="14076" width="22.5703125" customWidth="1"/>
    <col min="14077" max="14079" width="11.5703125" customWidth="1"/>
    <col min="14080" max="14080" width="11" customWidth="1"/>
    <col min="14082" max="14082" width="13.42578125" customWidth="1"/>
    <col min="14083" max="14083" width="13.140625" customWidth="1"/>
    <col min="14084" max="14084" width="14.85546875" customWidth="1"/>
    <col min="14085" max="14086" width="13.42578125" customWidth="1"/>
    <col min="14087" max="14087" width="16.28515625" customWidth="1"/>
    <col min="14326" max="14326" width="18.140625" customWidth="1"/>
    <col min="14327" max="14327" width="63.28515625" customWidth="1"/>
    <col min="14328" max="14328" width="29.42578125" customWidth="1"/>
    <col min="14329" max="14331" width="22.28515625" customWidth="1"/>
    <col min="14332" max="14332" width="22.5703125" customWidth="1"/>
    <col min="14333" max="14335" width="11.5703125" customWidth="1"/>
    <col min="14336" max="14336" width="11" customWidth="1"/>
    <col min="14338" max="14338" width="13.42578125" customWidth="1"/>
    <col min="14339" max="14339" width="13.140625" customWidth="1"/>
    <col min="14340" max="14340" width="14.85546875" customWidth="1"/>
    <col min="14341" max="14342" width="13.42578125" customWidth="1"/>
    <col min="14343" max="14343" width="16.28515625" customWidth="1"/>
    <col min="14582" max="14582" width="18.140625" customWidth="1"/>
    <col min="14583" max="14583" width="63.28515625" customWidth="1"/>
    <col min="14584" max="14584" width="29.42578125" customWidth="1"/>
    <col min="14585" max="14587" width="22.28515625" customWidth="1"/>
    <col min="14588" max="14588" width="22.5703125" customWidth="1"/>
    <col min="14589" max="14591" width="11.5703125" customWidth="1"/>
    <col min="14592" max="14592" width="11" customWidth="1"/>
    <col min="14594" max="14594" width="13.42578125" customWidth="1"/>
    <col min="14595" max="14595" width="13.140625" customWidth="1"/>
    <col min="14596" max="14596" width="14.85546875" customWidth="1"/>
    <col min="14597" max="14598" width="13.42578125" customWidth="1"/>
    <col min="14599" max="14599" width="16.28515625" customWidth="1"/>
    <col min="14838" max="14838" width="18.140625" customWidth="1"/>
    <col min="14839" max="14839" width="63.28515625" customWidth="1"/>
    <col min="14840" max="14840" width="29.42578125" customWidth="1"/>
    <col min="14841" max="14843" width="22.28515625" customWidth="1"/>
    <col min="14844" max="14844" width="22.5703125" customWidth="1"/>
    <col min="14845" max="14847" width="11.5703125" customWidth="1"/>
    <col min="14848" max="14848" width="11" customWidth="1"/>
    <col min="14850" max="14850" width="13.42578125" customWidth="1"/>
    <col min="14851" max="14851" width="13.140625" customWidth="1"/>
    <col min="14852" max="14852" width="14.85546875" customWidth="1"/>
    <col min="14853" max="14854" width="13.42578125" customWidth="1"/>
    <col min="14855" max="14855" width="16.28515625" customWidth="1"/>
    <col min="15094" max="15094" width="18.140625" customWidth="1"/>
    <col min="15095" max="15095" width="63.28515625" customWidth="1"/>
    <col min="15096" max="15096" width="29.42578125" customWidth="1"/>
    <col min="15097" max="15099" width="22.28515625" customWidth="1"/>
    <col min="15100" max="15100" width="22.5703125" customWidth="1"/>
    <col min="15101" max="15103" width="11.5703125" customWidth="1"/>
    <col min="15104" max="15104" width="11" customWidth="1"/>
    <col min="15106" max="15106" width="13.42578125" customWidth="1"/>
    <col min="15107" max="15107" width="13.140625" customWidth="1"/>
    <col min="15108" max="15108" width="14.85546875" customWidth="1"/>
    <col min="15109" max="15110" width="13.42578125" customWidth="1"/>
    <col min="15111" max="15111" width="16.28515625" customWidth="1"/>
    <col min="15350" max="15350" width="18.140625" customWidth="1"/>
    <col min="15351" max="15351" width="63.28515625" customWidth="1"/>
    <col min="15352" max="15352" width="29.42578125" customWidth="1"/>
    <col min="15353" max="15355" width="22.28515625" customWidth="1"/>
    <col min="15356" max="15356" width="22.5703125" customWidth="1"/>
    <col min="15357" max="15359" width="11.5703125" customWidth="1"/>
    <col min="15360" max="15360" width="11" customWidth="1"/>
    <col min="15362" max="15362" width="13.42578125" customWidth="1"/>
    <col min="15363" max="15363" width="13.140625" customWidth="1"/>
    <col min="15364" max="15364" width="14.85546875" customWidth="1"/>
    <col min="15365" max="15366" width="13.42578125" customWidth="1"/>
    <col min="15367" max="15367" width="16.28515625" customWidth="1"/>
    <col min="15606" max="15606" width="18.140625" customWidth="1"/>
    <col min="15607" max="15607" width="63.28515625" customWidth="1"/>
    <col min="15608" max="15608" width="29.42578125" customWidth="1"/>
    <col min="15609" max="15611" width="22.28515625" customWidth="1"/>
    <col min="15612" max="15612" width="22.5703125" customWidth="1"/>
    <col min="15613" max="15615" width="11.5703125" customWidth="1"/>
    <col min="15616" max="15616" width="11" customWidth="1"/>
    <col min="15618" max="15618" width="13.42578125" customWidth="1"/>
    <col min="15619" max="15619" width="13.140625" customWidth="1"/>
    <col min="15620" max="15620" width="14.85546875" customWidth="1"/>
    <col min="15621" max="15622" width="13.42578125" customWidth="1"/>
    <col min="15623" max="15623" width="16.28515625" customWidth="1"/>
    <col min="15862" max="15862" width="18.140625" customWidth="1"/>
    <col min="15863" max="15863" width="63.28515625" customWidth="1"/>
    <col min="15864" max="15864" width="29.42578125" customWidth="1"/>
    <col min="15865" max="15867" width="22.28515625" customWidth="1"/>
    <col min="15868" max="15868" width="22.5703125" customWidth="1"/>
    <col min="15869" max="15871" width="11.5703125" customWidth="1"/>
    <col min="15872" max="15872" width="11" customWidth="1"/>
    <col min="15874" max="15874" width="13.42578125" customWidth="1"/>
    <col min="15875" max="15875" width="13.140625" customWidth="1"/>
    <col min="15876" max="15876" width="14.85546875" customWidth="1"/>
    <col min="15877" max="15878" width="13.42578125" customWidth="1"/>
    <col min="15879" max="15879" width="16.28515625" customWidth="1"/>
    <col min="16118" max="16118" width="18.140625" customWidth="1"/>
    <col min="16119" max="16119" width="63.28515625" customWidth="1"/>
    <col min="16120" max="16120" width="29.42578125" customWidth="1"/>
    <col min="16121" max="16123" width="22.28515625" customWidth="1"/>
    <col min="16124" max="16124" width="22.5703125" customWidth="1"/>
    <col min="16125" max="16127" width="11.5703125" customWidth="1"/>
    <col min="16128" max="16128" width="11" customWidth="1"/>
    <col min="16130" max="16130" width="13.42578125" customWidth="1"/>
    <col min="16131" max="16131" width="13.140625" customWidth="1"/>
    <col min="16132" max="16132" width="14.85546875" customWidth="1"/>
    <col min="16133" max="16134" width="13.42578125" customWidth="1"/>
    <col min="16135" max="16135" width="16.28515625" customWidth="1"/>
  </cols>
  <sheetData>
    <row r="1" spans="1:17" ht="14.25" customHeight="1" thickBot="1" x14ac:dyDescent="0.3">
      <c r="A1" s="219" t="s">
        <v>129</v>
      </c>
      <c r="B1" s="220"/>
      <c r="C1" s="220"/>
      <c r="D1" s="220"/>
      <c r="E1" s="220"/>
      <c r="F1" s="220"/>
      <c r="G1" s="220"/>
      <c r="H1" s="220"/>
      <c r="I1" s="220"/>
      <c r="J1" s="221"/>
      <c r="K1" s="164"/>
      <c r="L1" s="222" t="s">
        <v>189</v>
      </c>
      <c r="M1" s="223"/>
      <c r="N1" s="223"/>
      <c r="O1" s="223"/>
      <c r="P1" s="223"/>
      <c r="Q1" s="224"/>
    </row>
    <row r="2" spans="1:17" ht="40.5" customHeight="1" thickBot="1" x14ac:dyDescent="0.3">
      <c r="A2" s="225" t="s">
        <v>130</v>
      </c>
      <c r="B2" s="226"/>
      <c r="C2" s="227" t="s">
        <v>137</v>
      </c>
      <c r="D2" s="228"/>
      <c r="E2" s="228"/>
      <c r="F2" s="228"/>
      <c r="G2" s="229" t="s">
        <v>138</v>
      </c>
      <c r="H2" s="217"/>
      <c r="I2" s="217"/>
      <c r="J2" s="218"/>
      <c r="K2" s="230" t="s">
        <v>275</v>
      </c>
      <c r="L2" s="216" t="s">
        <v>190</v>
      </c>
      <c r="M2" s="217"/>
      <c r="N2" s="217"/>
      <c r="O2" s="217"/>
      <c r="P2" s="217"/>
      <c r="Q2" s="218"/>
    </row>
    <row r="3" spans="1:17" ht="77.25" thickBot="1" x14ac:dyDescent="0.3">
      <c r="A3" s="69" t="s">
        <v>10</v>
      </c>
      <c r="B3" s="74" t="s">
        <v>141</v>
      </c>
      <c r="C3" s="67" t="s">
        <v>140</v>
      </c>
      <c r="D3" s="68" t="s">
        <v>151</v>
      </c>
      <c r="E3" s="68" t="s">
        <v>152</v>
      </c>
      <c r="F3" s="68" t="s">
        <v>153</v>
      </c>
      <c r="G3" s="20" t="s">
        <v>27</v>
      </c>
      <c r="H3" s="58" t="s">
        <v>28</v>
      </c>
      <c r="I3" s="23" t="s">
        <v>29</v>
      </c>
      <c r="J3" s="22" t="s">
        <v>28</v>
      </c>
      <c r="K3" s="231"/>
      <c r="L3" s="23" t="s">
        <v>156</v>
      </c>
      <c r="M3" s="21" t="s">
        <v>28</v>
      </c>
      <c r="N3" s="21" t="s">
        <v>125</v>
      </c>
      <c r="O3" s="58" t="s">
        <v>318</v>
      </c>
      <c r="P3" s="21" t="s">
        <v>29</v>
      </c>
      <c r="Q3" s="22" t="s">
        <v>28</v>
      </c>
    </row>
    <row r="4" spans="1:17" x14ac:dyDescent="0.25">
      <c r="A4" s="118"/>
      <c r="B4" s="119"/>
      <c r="C4" s="120"/>
      <c r="D4" s="121"/>
      <c r="E4" s="121"/>
      <c r="F4" s="121"/>
      <c r="G4" s="122"/>
      <c r="H4" s="123"/>
      <c r="I4" s="124"/>
      <c r="J4" s="125"/>
      <c r="K4" s="180"/>
      <c r="L4" s="124"/>
      <c r="M4" s="126"/>
      <c r="N4" s="124"/>
      <c r="O4" s="127"/>
      <c r="P4" s="126"/>
      <c r="Q4" s="125"/>
    </row>
    <row r="5" spans="1:17" ht="102" x14ac:dyDescent="0.25">
      <c r="A5" s="104">
        <v>1</v>
      </c>
      <c r="B5" s="109" t="s">
        <v>154</v>
      </c>
      <c r="C5" s="66">
        <f>A5</f>
        <v>1</v>
      </c>
      <c r="D5" s="110" t="s">
        <v>246</v>
      </c>
      <c r="E5" s="111" t="str" cm="1">
        <f t="array" ref="E5">_xlfn.SWITCH(D5,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This requirement is tested by another test. See Additional Test Information for details</v>
      </c>
      <c r="F5" s="71" t="s">
        <v>134</v>
      </c>
      <c r="G5" s="112"/>
      <c r="H5" s="113"/>
      <c r="I5" s="111"/>
      <c r="J5" s="114"/>
      <c r="K5" s="181"/>
      <c r="L5" s="112"/>
      <c r="M5" s="115"/>
      <c r="N5" s="187"/>
      <c r="O5" s="116"/>
      <c r="P5" s="117"/>
      <c r="Q5" s="114"/>
    </row>
    <row r="6" spans="1:17" ht="76.5" x14ac:dyDescent="0.25">
      <c r="A6" s="105">
        <f>A5+1</f>
        <v>2</v>
      </c>
      <c r="B6" s="106" t="s">
        <v>155</v>
      </c>
      <c r="C6" s="54">
        <f t="shared" ref="C6:C13" si="0">A6</f>
        <v>2</v>
      </c>
      <c r="D6" s="110" t="s">
        <v>133</v>
      </c>
      <c r="E6" s="111" t="str" cm="1">
        <f t="array" ref="E6">_xlfn.SWITCH(D6,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This requirement shall be considered verified if a reviewer has checked the code and is satisfied that the code meets this requirement. Completion of the Development checklist serves as evidence of a code review having been completed</v>
      </c>
      <c r="F6" s="72" t="s">
        <v>135</v>
      </c>
      <c r="G6" s="55"/>
      <c r="H6" s="59"/>
      <c r="I6" s="24"/>
      <c r="J6" s="57"/>
      <c r="K6" s="182"/>
      <c r="L6" s="112"/>
      <c r="M6" s="115"/>
      <c r="N6" s="187"/>
      <c r="O6" s="116"/>
      <c r="P6" s="117"/>
      <c r="Q6" s="114"/>
    </row>
    <row r="7" spans="1:17" ht="25.5" x14ac:dyDescent="0.25">
      <c r="A7" s="105">
        <f t="shared" ref="A7:A14" si="1">A6+1</f>
        <v>3</v>
      </c>
      <c r="B7" s="106"/>
      <c r="C7" s="54">
        <f t="shared" si="0"/>
        <v>3</v>
      </c>
      <c r="D7" s="110" t="s">
        <v>120</v>
      </c>
      <c r="E7" s="111" t="str" cm="1">
        <f t="array" ref="E7">_xlfn.SWITCH(D7,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PLEASE SELECT A VALID OPTION IN TEST TYPE</v>
      </c>
      <c r="F7" s="56"/>
      <c r="G7" s="55"/>
      <c r="H7" s="59"/>
      <c r="I7" s="24"/>
      <c r="J7" s="57"/>
      <c r="K7" s="182"/>
      <c r="L7" s="112"/>
      <c r="M7" s="115"/>
      <c r="N7" s="187"/>
      <c r="O7" s="116"/>
      <c r="P7" s="117"/>
      <c r="Q7" s="114"/>
    </row>
    <row r="8" spans="1:17" ht="25.5" x14ac:dyDescent="0.25">
      <c r="A8" s="105">
        <f t="shared" si="1"/>
        <v>4</v>
      </c>
      <c r="B8" s="106"/>
      <c r="C8" s="54">
        <f t="shared" si="0"/>
        <v>4</v>
      </c>
      <c r="D8" s="110" t="s">
        <v>120</v>
      </c>
      <c r="E8" s="111" t="str" cm="1">
        <f t="array" ref="E8">_xlfn.SWITCH(D8,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PLEASE SELECT A VALID OPTION IN TEST TYPE</v>
      </c>
      <c r="F8" s="56"/>
      <c r="G8" s="55"/>
      <c r="H8" s="59"/>
      <c r="I8" s="24"/>
      <c r="J8" s="57"/>
      <c r="K8" s="182"/>
      <c r="L8" s="112"/>
      <c r="M8" s="115"/>
      <c r="N8" s="187"/>
      <c r="O8" s="116"/>
      <c r="P8" s="117"/>
      <c r="Q8" s="114"/>
    </row>
    <row r="9" spans="1:17" ht="25.5" x14ac:dyDescent="0.25">
      <c r="A9" s="105">
        <f t="shared" si="1"/>
        <v>5</v>
      </c>
      <c r="B9" s="106"/>
      <c r="C9" s="54">
        <f t="shared" si="0"/>
        <v>5</v>
      </c>
      <c r="D9" s="110" t="s">
        <v>120</v>
      </c>
      <c r="E9" s="111" t="str" cm="1">
        <f t="array" ref="E9">_xlfn.SWITCH(D9,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PLEASE SELECT A VALID OPTION IN TEST TYPE</v>
      </c>
      <c r="F9" s="56"/>
      <c r="G9" s="55"/>
      <c r="H9" s="59"/>
      <c r="I9" s="24"/>
      <c r="J9" s="57"/>
      <c r="K9" s="182"/>
      <c r="L9" s="112"/>
      <c r="M9" s="115"/>
      <c r="N9" s="187"/>
      <c r="O9" s="116"/>
      <c r="P9" s="117"/>
      <c r="Q9" s="114"/>
    </row>
    <row r="10" spans="1:17" ht="76.5" x14ac:dyDescent="0.25">
      <c r="A10" s="105">
        <f t="shared" si="1"/>
        <v>6</v>
      </c>
      <c r="B10" s="106"/>
      <c r="C10" s="54">
        <f t="shared" si="0"/>
        <v>6</v>
      </c>
      <c r="D10" s="110" t="s">
        <v>133</v>
      </c>
      <c r="E10" s="111" t="str" cm="1">
        <f t="array" ref="E10">_xlfn.SWITCH(D10,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This requirement shall be considered verified if a reviewer has checked the code and is satisfied that the code meets this requirement. Completion of the Development checklist serves as evidence of a code review having been completed</v>
      </c>
      <c r="F10" s="73" t="s">
        <v>249</v>
      </c>
      <c r="G10" s="55"/>
      <c r="H10" s="59"/>
      <c r="I10" s="24"/>
      <c r="J10" s="57"/>
      <c r="K10" s="182"/>
      <c r="L10" s="112"/>
      <c r="M10" s="115"/>
      <c r="N10" s="187"/>
      <c r="O10" s="116"/>
      <c r="P10" s="117"/>
      <c r="Q10" s="114"/>
    </row>
    <row r="11" spans="1:17" ht="63.75" x14ac:dyDescent="0.25">
      <c r="A11" s="105">
        <f t="shared" si="1"/>
        <v>7</v>
      </c>
      <c r="B11" s="106"/>
      <c r="C11" s="54">
        <f t="shared" si="0"/>
        <v>7</v>
      </c>
      <c r="D11" s="110" t="s">
        <v>136</v>
      </c>
      <c r="E11" s="111" t="str" cm="1">
        <f t="array" ref="E11">_xlfn.SWITCH(D11,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The test routine will output a message to the debug serial port showing the test results. The acceptance criteria are presented as outputs on the debug serial port and shall be captured as part of the test evidence.</v>
      </c>
      <c r="F11" s="73" t="s">
        <v>248</v>
      </c>
      <c r="G11" s="55"/>
      <c r="H11" s="59"/>
      <c r="I11" s="24"/>
      <c r="J11" s="57"/>
      <c r="K11" s="182"/>
      <c r="L11" s="112"/>
      <c r="M11" s="115"/>
      <c r="N11" s="187"/>
      <c r="O11" s="116"/>
      <c r="P11" s="117"/>
      <c r="Q11" s="114"/>
    </row>
    <row r="12" spans="1:17" ht="102" x14ac:dyDescent="0.25">
      <c r="A12" s="105">
        <f t="shared" si="1"/>
        <v>8</v>
      </c>
      <c r="B12" s="106"/>
      <c r="C12" s="54">
        <f t="shared" si="0"/>
        <v>8</v>
      </c>
      <c r="D12" s="110" t="s">
        <v>251</v>
      </c>
      <c r="E12" s="111" t="str" cm="1">
        <f t="array" ref="E12">_xlfn.SWITCH(D12,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v>
      </c>
      <c r="F12" s="73" t="s">
        <v>247</v>
      </c>
      <c r="G12" s="55"/>
      <c r="H12" s="59"/>
      <c r="I12" s="24"/>
      <c r="J12" s="57"/>
      <c r="K12" s="182"/>
      <c r="L12" s="112"/>
      <c r="M12" s="115"/>
      <c r="N12" s="187"/>
      <c r="O12" s="116"/>
      <c r="P12" s="117"/>
      <c r="Q12" s="114"/>
    </row>
    <row r="13" spans="1:17" ht="25.5" x14ac:dyDescent="0.25">
      <c r="A13" s="105">
        <f t="shared" si="1"/>
        <v>9</v>
      </c>
      <c r="B13" s="103"/>
      <c r="C13" s="98">
        <f t="shared" si="0"/>
        <v>9</v>
      </c>
      <c r="D13" s="110" t="s">
        <v>148</v>
      </c>
      <c r="E13" s="111" t="str" cm="1">
        <f t="array" ref="E13">_xlfn.SWITCH(D13,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This requirement has not been implemented and will not be tested</v>
      </c>
      <c r="F13" s="73" t="s">
        <v>139</v>
      </c>
      <c r="G13" s="100"/>
      <c r="H13" s="101"/>
      <c r="I13" s="99"/>
      <c r="J13" s="102"/>
      <c r="K13" s="183"/>
      <c r="L13" s="112"/>
      <c r="M13" s="115"/>
      <c r="N13" s="187"/>
      <c r="O13" s="116"/>
      <c r="P13" s="117"/>
      <c r="Q13" s="114"/>
    </row>
    <row r="14" spans="1:17" ht="25.5" x14ac:dyDescent="0.25">
      <c r="A14" s="105">
        <f t="shared" si="1"/>
        <v>10</v>
      </c>
      <c r="B14" s="106"/>
      <c r="C14" s="54">
        <f t="shared" ref="C14" si="2">A14</f>
        <v>10</v>
      </c>
      <c r="D14" s="110" t="s">
        <v>246</v>
      </c>
      <c r="E14" s="111" t="str" cm="1">
        <f t="array" ref="E14">_xlfn.SWITCH(D14,
"Select From Dropdown","PLEASE SELECT A VALID OPTION IN TEST TYPE",
"Code Review","This requirement shall be considered verified if a reviewer has checked the code and is satisfied that the code meets this requirement. Completion of the Development checklist serves as evidence of a code review having been completed",
"Automated Test Code","The test routine will output a message to the debug serial port showing the test results. The acceptance criteria are presented as outputs on the debug serial port and shall be captured as part of the test evidence.",
"Manual (User Check) Test Code",_xlfn.CONCAT("This is a user check test. Set up the test as described in the Comments column. The test routine will output a message to the debug serial port providing further information."," The acceptance criteria and methodology are presented as outputs on the debug serial port and shall be captured as part of the test evidence."),
"Requirement Not Implemented","This requirement has not been implemented and will not be tested",
"Tested by other test","This requirement is tested by another test. See Additional Test Information for details",
"PLEASE SELECT A VALID OPTION IN TEST TYPE"
)</f>
        <v>This requirement is tested by another test. See Additional Test Information for details</v>
      </c>
      <c r="F14" s="73" t="s">
        <v>250</v>
      </c>
      <c r="G14" s="55"/>
      <c r="H14" s="59"/>
      <c r="I14" s="24"/>
      <c r="J14" s="57"/>
      <c r="K14" s="182"/>
      <c r="L14" s="112"/>
      <c r="M14" s="115"/>
      <c r="N14" s="187"/>
      <c r="O14" s="116"/>
      <c r="P14" s="117"/>
      <c r="Q14" s="114"/>
    </row>
    <row r="16" spans="1:17" ht="117" customHeight="1" x14ac:dyDescent="0.25"/>
    <row r="17" ht="117" customHeight="1" x14ac:dyDescent="0.25"/>
    <row r="18" ht="117" customHeight="1" x14ac:dyDescent="0.25"/>
    <row r="19" ht="117" customHeight="1" x14ac:dyDescent="0.25"/>
    <row r="20" ht="117" customHeight="1" x14ac:dyDescent="0.25"/>
    <row r="21" ht="117" customHeight="1" x14ac:dyDescent="0.25"/>
    <row r="22" ht="117" customHeight="1" x14ac:dyDescent="0.25"/>
    <row r="23" ht="117" customHeight="1" x14ac:dyDescent="0.25"/>
    <row r="24" ht="117" customHeight="1" x14ac:dyDescent="0.25"/>
  </sheetData>
  <mergeCells count="7">
    <mergeCell ref="L2:Q2"/>
    <mergeCell ref="A1:J1"/>
    <mergeCell ref="L1:Q1"/>
    <mergeCell ref="A2:B2"/>
    <mergeCell ref="C2:F2"/>
    <mergeCell ref="G2:J2"/>
    <mergeCell ref="K2:K3"/>
  </mergeCells>
  <conditionalFormatting sqref="D5:D14">
    <cfRule type="containsText" dxfId="10" priority="5" operator="containsText" text="Requirement Not Implemented">
      <formula>NOT(ISERROR(SEARCH("Requirement Not Implemented",D5)))</formula>
    </cfRule>
    <cfRule type="containsText" dxfId="9" priority="7" operator="containsText" text="select">
      <formula>NOT(ISERROR(SEARCH("select",D5)))</formula>
    </cfRule>
  </conditionalFormatting>
  <conditionalFormatting sqref="E5:E14">
    <cfRule type="containsText" dxfId="8" priority="4" operator="containsText" text="This requirement has not been implemented ">
      <formula>NOT(ISERROR(SEARCH("This requirement has not been implemented ",E5)))</formula>
    </cfRule>
    <cfRule type="containsText" dxfId="7" priority="6" operator="containsText" text="PLEASE SELECT A VALID OPTION IN TEST TYPE">
      <formula>NOT(ISERROR(SEARCH("PLEASE SELECT A VALID OPTION IN TEST TYPE",E5)))</formula>
    </cfRule>
  </conditionalFormatting>
  <conditionalFormatting sqref="L5:Q14">
    <cfRule type="expression" dxfId="6" priority="1">
      <formula>$D5="Requirement Not Implemented"</formula>
    </cfRule>
    <cfRule type="expression" dxfId="5" priority="2">
      <formula>$D5="Tested by other Test"</formula>
    </cfRule>
    <cfRule type="expression" dxfId="4" priority="3">
      <formula>$D5="Code Review"</formula>
    </cfRule>
  </conditionalFormatting>
  <dataValidations count="2">
    <dataValidation type="list" allowBlank="1" showInputMessage="1" showErrorMessage="1" sqref="D13" xr:uid="{82AD9B37-60B2-4E97-AF8B-1A340829E523}">
      <formula1>"Select From Dropdown, Code Review, Automated Test Code, Manual Test Code, Requirement Not Implemented"</formula1>
    </dataValidation>
    <dataValidation type="list" allowBlank="1" showInputMessage="1" showErrorMessage="1" sqref="D5:D12 D14" xr:uid="{813DAE3B-AD0A-47AA-8BE1-02578E2E06CE}">
      <formula1>"Select From Dropdown, Code Review, Automated Test Code, Manual (User Check) Test Code, Requirement Not Implemented, Tested by other test"</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6E1E-3F5D-44FE-B81D-C9B921946B1A}">
  <dimension ref="B1:AE25"/>
  <sheetViews>
    <sheetView zoomScale="130" zoomScaleNormal="130" workbookViewId="0">
      <selection activeCell="C29" sqref="C29"/>
    </sheetView>
  </sheetViews>
  <sheetFormatPr defaultRowHeight="15" x14ac:dyDescent="0.25"/>
  <cols>
    <col min="2" max="2" width="71.28515625" customWidth="1"/>
    <col min="3" max="3" width="27.7109375" bestFit="1" customWidth="1"/>
    <col min="4" max="4" width="10.42578125" bestFit="1" customWidth="1"/>
    <col min="5" max="5" width="24.5703125" bestFit="1" customWidth="1"/>
    <col min="6" max="6" width="14" customWidth="1"/>
    <col min="7" max="7" width="15.42578125" customWidth="1"/>
    <col min="8" max="8" width="5.140625" bestFit="1" customWidth="1"/>
  </cols>
  <sheetData>
    <row r="1" spans="2:31" ht="15.75" customHeight="1" thickBot="1" x14ac:dyDescent="0.3">
      <c r="E1" s="18"/>
      <c r="F1" s="18"/>
      <c r="G1" s="18"/>
      <c r="H1" s="18"/>
      <c r="I1" s="18"/>
      <c r="J1" s="18"/>
      <c r="K1" s="18"/>
      <c r="L1" s="18"/>
      <c r="M1" s="18"/>
      <c r="N1" s="18"/>
      <c r="O1" s="18"/>
      <c r="P1" s="19"/>
      <c r="Q1" s="19"/>
      <c r="R1" s="19"/>
      <c r="S1" s="18"/>
      <c r="T1" s="18"/>
      <c r="U1" s="18"/>
      <c r="V1" s="19"/>
      <c r="W1" s="19"/>
      <c r="X1" s="19"/>
    </row>
    <row r="2" spans="2:31" s="17" customFormat="1" ht="15" customHeight="1" thickBot="1" x14ac:dyDescent="0.25">
      <c r="B2" s="77" t="s">
        <v>131</v>
      </c>
      <c r="C2" s="78"/>
      <c r="E2" s="18"/>
      <c r="J2" s="19"/>
      <c r="K2" s="19"/>
      <c r="L2" s="19"/>
      <c r="M2" s="19"/>
      <c r="N2" s="19"/>
      <c r="O2" s="19"/>
      <c r="P2" s="19"/>
      <c r="Q2" s="19"/>
      <c r="R2" s="19"/>
      <c r="S2" s="19"/>
      <c r="T2" s="19"/>
      <c r="U2" s="19"/>
      <c r="V2" s="19"/>
      <c r="W2" s="19"/>
      <c r="X2" s="19"/>
      <c r="Y2" s="18"/>
      <c r="Z2" s="18"/>
      <c r="AA2" s="19"/>
      <c r="AB2" s="18"/>
      <c r="AC2" s="18"/>
      <c r="AD2" s="18"/>
      <c r="AE2" s="18"/>
    </row>
    <row r="3" spans="2:31" s="17" customFormat="1" ht="140.25" customHeight="1" x14ac:dyDescent="0.2">
      <c r="B3" s="44" t="s">
        <v>25</v>
      </c>
      <c r="C3" s="75" t="str">
        <f>'Cover Sheet'!B6</f>
        <v>TemplateModule</v>
      </c>
      <c r="E3" s="107" t="s">
        <v>157</v>
      </c>
      <c r="F3" s="232" t="s">
        <v>298</v>
      </c>
      <c r="G3" s="232"/>
      <c r="H3" s="232"/>
      <c r="I3" s="19"/>
      <c r="J3" s="19"/>
      <c r="K3" s="19"/>
      <c r="L3" s="19"/>
      <c r="M3" s="19"/>
      <c r="N3" s="19"/>
      <c r="O3" s="19"/>
      <c r="P3" s="19"/>
      <c r="Q3" s="19"/>
      <c r="R3" s="19"/>
      <c r="S3" s="19"/>
      <c r="T3" s="19"/>
      <c r="U3" s="19"/>
      <c r="V3" s="19"/>
      <c r="W3" s="19"/>
      <c r="X3" s="18"/>
      <c r="Y3" s="18"/>
      <c r="Z3" s="18"/>
      <c r="AA3" s="18"/>
    </row>
    <row r="4" spans="2:31" s="17" customFormat="1" ht="25.5" x14ac:dyDescent="0.2">
      <c r="B4" s="45" t="s">
        <v>75</v>
      </c>
      <c r="C4" s="76" t="str">
        <f>'Cover Sheet'!B11</f>
        <v>1.0.0</v>
      </c>
      <c r="E4" s="18"/>
      <c r="J4" s="19"/>
      <c r="K4" s="19"/>
      <c r="L4" s="19"/>
      <c r="M4" s="19"/>
      <c r="N4" s="19"/>
      <c r="O4" s="19"/>
      <c r="P4" s="19"/>
      <c r="Q4" s="19"/>
      <c r="R4" s="19"/>
      <c r="S4" s="19"/>
      <c r="T4" s="19"/>
      <c r="U4" s="19"/>
      <c r="V4" s="19"/>
      <c r="W4" s="19"/>
      <c r="X4" s="19"/>
      <c r="Y4" s="18"/>
      <c r="Z4" s="18"/>
      <c r="AA4" s="18"/>
      <c r="AB4" s="18"/>
    </row>
    <row r="5" spans="2:31" s="17" customFormat="1" ht="25.5" customHeight="1" x14ac:dyDescent="0.2">
      <c r="B5" s="45" t="s">
        <v>76</v>
      </c>
      <c r="C5" s="76">
        <f>'Cover Sheet'!B9</f>
        <v>0</v>
      </c>
      <c r="E5" s="18"/>
      <c r="J5" s="19"/>
      <c r="K5" s="19"/>
      <c r="L5" s="19"/>
      <c r="M5" s="19"/>
      <c r="N5" s="19"/>
      <c r="O5" s="19"/>
      <c r="P5" s="19"/>
      <c r="Q5" s="19"/>
      <c r="R5" s="19"/>
      <c r="S5" s="19"/>
      <c r="T5" s="19"/>
      <c r="U5" s="19"/>
      <c r="V5" s="19"/>
      <c r="W5" s="19"/>
      <c r="X5" s="19"/>
      <c r="Y5" s="18"/>
      <c r="Z5" s="18"/>
      <c r="AA5" s="18"/>
      <c r="AB5" s="18"/>
    </row>
    <row r="6" spans="2:31" s="17" customFormat="1" ht="15" customHeight="1" x14ac:dyDescent="0.2">
      <c r="B6" s="46" t="s">
        <v>103</v>
      </c>
      <c r="C6" s="70" t="s">
        <v>158</v>
      </c>
      <c r="E6" s="18"/>
      <c r="J6" s="19"/>
      <c r="K6" s="19"/>
      <c r="L6" s="19"/>
      <c r="M6" s="19"/>
      <c r="N6" s="19"/>
      <c r="O6" s="19"/>
      <c r="P6" s="19"/>
      <c r="Q6" s="19"/>
      <c r="R6" s="19"/>
      <c r="S6" s="19"/>
      <c r="T6" s="19"/>
      <c r="U6" s="19"/>
      <c r="V6" s="19"/>
      <c r="W6" s="19"/>
      <c r="X6" s="19"/>
      <c r="Y6" s="18"/>
      <c r="Z6" s="18"/>
      <c r="AA6" s="18"/>
      <c r="AB6" s="18"/>
    </row>
    <row r="7" spans="2:31" s="17" customFormat="1" ht="15" customHeight="1" x14ac:dyDescent="0.2">
      <c r="B7" s="46" t="s">
        <v>159</v>
      </c>
      <c r="C7" s="70"/>
      <c r="E7" s="18"/>
      <c r="J7" s="19"/>
      <c r="K7" s="19"/>
      <c r="L7" s="19"/>
      <c r="M7" s="19"/>
      <c r="N7" s="19"/>
      <c r="O7" s="19"/>
      <c r="P7" s="19"/>
      <c r="Q7" s="19"/>
      <c r="R7" s="19"/>
      <c r="S7" s="19"/>
      <c r="T7" s="19"/>
      <c r="U7" s="19"/>
      <c r="V7" s="19"/>
      <c r="W7" s="19"/>
      <c r="X7" s="19"/>
      <c r="Y7" s="18"/>
      <c r="Z7" s="18"/>
      <c r="AA7" s="18"/>
      <c r="AB7" s="18"/>
    </row>
    <row r="8" spans="2:31" s="17" customFormat="1" ht="15" customHeight="1" x14ac:dyDescent="0.2">
      <c r="B8" s="46" t="s">
        <v>26</v>
      </c>
      <c r="C8" s="136" t="s">
        <v>121</v>
      </c>
      <c r="E8" s="18"/>
      <c r="F8" s="18"/>
      <c r="G8" s="18"/>
      <c r="H8" s="18"/>
      <c r="I8" s="19"/>
      <c r="J8" s="19"/>
      <c r="K8" s="19"/>
      <c r="L8" s="19"/>
      <c r="M8" s="19"/>
      <c r="N8" s="19"/>
      <c r="O8" s="19"/>
      <c r="P8" s="19"/>
      <c r="Q8" s="19"/>
      <c r="R8" s="19"/>
      <c r="S8" s="19"/>
      <c r="T8" s="19"/>
      <c r="U8" s="19"/>
      <c r="V8" s="19"/>
      <c r="W8" s="19"/>
      <c r="X8" s="19"/>
      <c r="Y8" s="18"/>
      <c r="Z8" s="18"/>
      <c r="AA8" s="18"/>
      <c r="AB8" s="18"/>
    </row>
    <row r="9" spans="2:31" s="17" customFormat="1" ht="15.75" customHeight="1" thickBot="1" x14ac:dyDescent="0.25">
      <c r="B9" s="47" t="s">
        <v>77</v>
      </c>
      <c r="C9" s="108" t="s">
        <v>161</v>
      </c>
      <c r="E9" s="18"/>
      <c r="F9" s="18"/>
      <c r="G9" s="18"/>
      <c r="H9" s="18"/>
      <c r="I9" s="19"/>
      <c r="J9" s="19"/>
      <c r="K9" s="19"/>
      <c r="L9" s="19"/>
      <c r="M9" s="19"/>
      <c r="N9" s="19"/>
      <c r="O9" s="19"/>
      <c r="P9" s="19"/>
      <c r="Q9" s="19"/>
      <c r="R9" s="19"/>
      <c r="S9" s="19"/>
      <c r="T9" s="19"/>
      <c r="U9" s="19"/>
      <c r="V9" s="19"/>
      <c r="W9" s="19"/>
      <c r="X9" s="19"/>
      <c r="Y9" s="18"/>
      <c r="Z9" s="18"/>
      <c r="AA9" s="18"/>
      <c r="AB9" s="18"/>
    </row>
    <row r="10" spans="2:31" ht="15.75" thickBot="1" x14ac:dyDescent="0.3"/>
    <row r="11" spans="2:31" ht="15.75" thickBot="1" x14ac:dyDescent="0.3">
      <c r="B11" s="171" t="s">
        <v>288</v>
      </c>
      <c r="C11" s="167" t="s">
        <v>132</v>
      </c>
      <c r="D11" s="168" t="s">
        <v>49</v>
      </c>
      <c r="E11" s="19"/>
    </row>
    <row r="12" spans="2:31" ht="26.25" x14ac:dyDescent="0.25">
      <c r="B12" s="172" t="s">
        <v>160</v>
      </c>
      <c r="C12" s="169"/>
      <c r="D12" s="173"/>
      <c r="E12" s="19"/>
    </row>
    <row r="13" spans="2:31" x14ac:dyDescent="0.25">
      <c r="B13" s="61" t="s">
        <v>127</v>
      </c>
      <c r="C13" s="62"/>
      <c r="D13" s="63"/>
      <c r="E13" s="19"/>
    </row>
    <row r="14" spans="2:31" x14ac:dyDescent="0.25">
      <c r="B14" s="61" t="s">
        <v>162</v>
      </c>
      <c r="C14" s="62"/>
      <c r="D14" s="63"/>
      <c r="E14" s="19"/>
    </row>
    <row r="15" spans="2:31" ht="15.75" thickBot="1" x14ac:dyDescent="0.3">
      <c r="B15" s="60" t="s">
        <v>124</v>
      </c>
      <c r="C15" s="64"/>
      <c r="D15" s="65"/>
      <c r="E15" s="19"/>
    </row>
    <row r="16" spans="2:31" ht="15.75" thickBot="1" x14ac:dyDescent="0.3">
      <c r="B16" s="18"/>
      <c r="C16" s="18"/>
      <c r="D16" s="18"/>
      <c r="E16" s="19"/>
    </row>
    <row r="17" spans="2:8" ht="15.75" thickBot="1" x14ac:dyDescent="0.3">
      <c r="B17" s="166" t="s">
        <v>287</v>
      </c>
      <c r="C17" s="167" t="s">
        <v>283</v>
      </c>
      <c r="D17" s="167" t="s">
        <v>284</v>
      </c>
      <c r="E17" s="167" t="s">
        <v>285</v>
      </c>
      <c r="F17" s="167" t="s">
        <v>286</v>
      </c>
      <c r="G17" s="167" t="s">
        <v>132</v>
      </c>
      <c r="H17" s="168" t="s">
        <v>49</v>
      </c>
    </row>
    <row r="18" spans="2:8" x14ac:dyDescent="0.25">
      <c r="B18" s="165" t="s">
        <v>289</v>
      </c>
      <c r="C18" s="169"/>
      <c r="D18" s="170"/>
      <c r="E18" s="174"/>
      <c r="F18" s="174"/>
      <c r="G18" s="174"/>
      <c r="H18" s="175"/>
    </row>
    <row r="19" spans="2:8" x14ac:dyDescent="0.25">
      <c r="B19" s="61" t="s">
        <v>290</v>
      </c>
      <c r="C19" s="62"/>
      <c r="D19" s="62"/>
      <c r="E19" s="176"/>
      <c r="F19" s="176"/>
      <c r="G19" s="176"/>
      <c r="H19" s="177"/>
    </row>
    <row r="20" spans="2:8" x14ac:dyDescent="0.25">
      <c r="B20" s="61" t="s">
        <v>291</v>
      </c>
      <c r="C20" s="62"/>
      <c r="D20" s="62"/>
      <c r="E20" s="176"/>
      <c r="F20" s="176"/>
      <c r="G20" s="176"/>
      <c r="H20" s="177"/>
    </row>
    <row r="21" spans="2:8" x14ac:dyDescent="0.25">
      <c r="B21" s="61" t="s">
        <v>292</v>
      </c>
      <c r="C21" s="62"/>
      <c r="D21" s="62"/>
      <c r="E21" s="176"/>
      <c r="F21" s="176"/>
      <c r="G21" s="176"/>
      <c r="H21" s="177"/>
    </row>
    <row r="22" spans="2:8" x14ac:dyDescent="0.25">
      <c r="B22" s="61" t="s">
        <v>293</v>
      </c>
      <c r="C22" s="176"/>
      <c r="D22" s="176"/>
      <c r="E22" s="176"/>
      <c r="F22" s="176"/>
      <c r="G22" s="176"/>
      <c r="H22" s="177"/>
    </row>
    <row r="23" spans="2:8" x14ac:dyDescent="0.25">
      <c r="B23" s="61" t="s">
        <v>294</v>
      </c>
      <c r="C23" s="176"/>
      <c r="D23" s="176"/>
      <c r="E23" s="176"/>
      <c r="F23" s="176"/>
      <c r="G23" s="176"/>
      <c r="H23" s="177"/>
    </row>
    <row r="24" spans="2:8" x14ac:dyDescent="0.25">
      <c r="B24" s="61" t="s">
        <v>295</v>
      </c>
      <c r="C24" s="176"/>
      <c r="D24" s="176"/>
      <c r="E24" s="176"/>
      <c r="F24" s="176"/>
      <c r="G24" s="176"/>
      <c r="H24" s="177"/>
    </row>
    <row r="25" spans="2:8" ht="15.75" thickBot="1" x14ac:dyDescent="0.3">
      <c r="B25" s="60" t="s">
        <v>296</v>
      </c>
      <c r="C25" s="64"/>
      <c r="D25" s="64"/>
      <c r="E25" s="178"/>
      <c r="F25" s="178"/>
      <c r="G25" s="178"/>
      <c r="H25" s="179"/>
    </row>
  </sheetData>
  <mergeCells count="1">
    <mergeCell ref="F3:H3"/>
  </mergeCells>
  <conditionalFormatting sqref="G15:G16 H17 G18:G23">
    <cfRule type="containsText" dxfId="3" priority="2" operator="containsText" text="Requirement Not Implemented">
      <formula>NOT(ISERROR(SEARCH("Requirement Not Implemented",G15)))</formula>
    </cfRule>
    <cfRule type="containsText" dxfId="2" priority="4" operator="containsText" text="select">
      <formula>NOT(ISERROR(SEARCH("select",G15)))</formula>
    </cfRule>
  </conditionalFormatting>
  <conditionalFormatting sqref="H15:H23">
    <cfRule type="containsText" dxfId="1" priority="1" operator="containsText" text="This requirement has not been implemented ">
      <formula>NOT(ISERROR(SEARCH("This requirement has not been implemented ",H15)))</formula>
    </cfRule>
    <cfRule type="containsText" dxfId="0" priority="3" operator="containsText" text="PLEASE SELECT A VALID OPTION IN TEST TYPE">
      <formula>NOT(ISERROR(SEARCH("PLEASE SELECT A VALID OPTION IN TEST TYPE",H15)))</formula>
    </cfRule>
  </conditionalFormatting>
  <dataValidations count="1">
    <dataValidation type="list" allowBlank="1" showInputMessage="1" showErrorMessage="1" sqref="G15:G16 G18:G23 H17" xr:uid="{54154449-C442-47B4-ACEF-BE44765E5E8D}">
      <formula1>"Select From Dropdown, Code Review, Automated Test Code, Manual Test Code, Requirement Not Implemented"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D459-D974-4E8A-9B33-2E49C02E8256}">
  <dimension ref="A1:F21"/>
  <sheetViews>
    <sheetView topLeftCell="A4" zoomScale="115" zoomScaleNormal="115" workbookViewId="0">
      <selection activeCell="E21" sqref="E21"/>
    </sheetView>
  </sheetViews>
  <sheetFormatPr defaultRowHeight="15" x14ac:dyDescent="0.25"/>
  <cols>
    <col min="1" max="1" width="8.7109375" style="39" customWidth="1"/>
    <col min="2" max="2" width="14.28515625" style="39" customWidth="1"/>
    <col min="3" max="3" width="48.28515625" style="39" customWidth="1"/>
    <col min="4" max="4" width="20.7109375" style="39" customWidth="1"/>
    <col min="5" max="5" width="13.7109375" style="39" customWidth="1"/>
    <col min="6" max="6" width="9.7109375" style="39" bestFit="1" customWidth="1"/>
    <col min="257" max="257" width="8.7109375" customWidth="1"/>
    <col min="258" max="258" width="14.28515625" customWidth="1"/>
    <col min="259" max="259" width="48.28515625" customWidth="1"/>
    <col min="260" max="260" width="20.7109375" customWidth="1"/>
    <col min="261" max="261" width="13.7109375" customWidth="1"/>
    <col min="262" max="262" width="9.7109375" bestFit="1" customWidth="1"/>
    <col min="513" max="513" width="8.7109375" customWidth="1"/>
    <col min="514" max="514" width="14.28515625" customWidth="1"/>
    <col min="515" max="515" width="48.28515625" customWidth="1"/>
    <col min="516" max="516" width="20.7109375" customWidth="1"/>
    <col min="517" max="517" width="13.7109375" customWidth="1"/>
    <col min="518" max="518" width="9.7109375" bestFit="1" customWidth="1"/>
    <col min="769" max="769" width="8.7109375" customWidth="1"/>
    <col min="770" max="770" width="14.28515625" customWidth="1"/>
    <col min="771" max="771" width="48.28515625" customWidth="1"/>
    <col min="772" max="772" width="20.7109375" customWidth="1"/>
    <col min="773" max="773" width="13.7109375" customWidth="1"/>
    <col min="774" max="774" width="9.7109375" bestFit="1" customWidth="1"/>
    <col min="1025" max="1025" width="8.7109375" customWidth="1"/>
    <col min="1026" max="1026" width="14.28515625" customWidth="1"/>
    <col min="1027" max="1027" width="48.28515625" customWidth="1"/>
    <col min="1028" max="1028" width="20.7109375" customWidth="1"/>
    <col min="1029" max="1029" width="13.7109375" customWidth="1"/>
    <col min="1030" max="1030" width="9.7109375" bestFit="1" customWidth="1"/>
    <col min="1281" max="1281" width="8.7109375" customWidth="1"/>
    <col min="1282" max="1282" width="14.28515625" customWidth="1"/>
    <col min="1283" max="1283" width="48.28515625" customWidth="1"/>
    <col min="1284" max="1284" width="20.7109375" customWidth="1"/>
    <col min="1285" max="1285" width="13.7109375" customWidth="1"/>
    <col min="1286" max="1286" width="9.7109375" bestFit="1" customWidth="1"/>
    <col min="1537" max="1537" width="8.7109375" customWidth="1"/>
    <col min="1538" max="1538" width="14.28515625" customWidth="1"/>
    <col min="1539" max="1539" width="48.28515625" customWidth="1"/>
    <col min="1540" max="1540" width="20.7109375" customWidth="1"/>
    <col min="1541" max="1541" width="13.7109375" customWidth="1"/>
    <col min="1542" max="1542" width="9.7109375" bestFit="1" customWidth="1"/>
    <col min="1793" max="1793" width="8.7109375" customWidth="1"/>
    <col min="1794" max="1794" width="14.28515625" customWidth="1"/>
    <col min="1795" max="1795" width="48.28515625" customWidth="1"/>
    <col min="1796" max="1796" width="20.7109375" customWidth="1"/>
    <col min="1797" max="1797" width="13.7109375" customWidth="1"/>
    <col min="1798" max="1798" width="9.7109375" bestFit="1" customWidth="1"/>
    <col min="2049" max="2049" width="8.7109375" customWidth="1"/>
    <col min="2050" max="2050" width="14.28515625" customWidth="1"/>
    <col min="2051" max="2051" width="48.28515625" customWidth="1"/>
    <col min="2052" max="2052" width="20.7109375" customWidth="1"/>
    <col min="2053" max="2053" width="13.7109375" customWidth="1"/>
    <col min="2054" max="2054" width="9.7109375" bestFit="1" customWidth="1"/>
    <col min="2305" max="2305" width="8.7109375" customWidth="1"/>
    <col min="2306" max="2306" width="14.28515625" customWidth="1"/>
    <col min="2307" max="2307" width="48.28515625" customWidth="1"/>
    <col min="2308" max="2308" width="20.7109375" customWidth="1"/>
    <col min="2309" max="2309" width="13.7109375" customWidth="1"/>
    <col min="2310" max="2310" width="9.7109375" bestFit="1" customWidth="1"/>
    <col min="2561" max="2561" width="8.7109375" customWidth="1"/>
    <col min="2562" max="2562" width="14.28515625" customWidth="1"/>
    <col min="2563" max="2563" width="48.28515625" customWidth="1"/>
    <col min="2564" max="2564" width="20.7109375" customWidth="1"/>
    <col min="2565" max="2565" width="13.7109375" customWidth="1"/>
    <col min="2566" max="2566" width="9.7109375" bestFit="1" customWidth="1"/>
    <col min="2817" max="2817" width="8.7109375" customWidth="1"/>
    <col min="2818" max="2818" width="14.28515625" customWidth="1"/>
    <col min="2819" max="2819" width="48.28515625" customWidth="1"/>
    <col min="2820" max="2820" width="20.7109375" customWidth="1"/>
    <col min="2821" max="2821" width="13.7109375" customWidth="1"/>
    <col min="2822" max="2822" width="9.7109375" bestFit="1" customWidth="1"/>
    <col min="3073" max="3073" width="8.7109375" customWidth="1"/>
    <col min="3074" max="3074" width="14.28515625" customWidth="1"/>
    <col min="3075" max="3075" width="48.28515625" customWidth="1"/>
    <col min="3076" max="3076" width="20.7109375" customWidth="1"/>
    <col min="3077" max="3077" width="13.7109375" customWidth="1"/>
    <col min="3078" max="3078" width="9.7109375" bestFit="1" customWidth="1"/>
    <col min="3329" max="3329" width="8.7109375" customWidth="1"/>
    <col min="3330" max="3330" width="14.28515625" customWidth="1"/>
    <col min="3331" max="3331" width="48.28515625" customWidth="1"/>
    <col min="3332" max="3332" width="20.7109375" customWidth="1"/>
    <col min="3333" max="3333" width="13.7109375" customWidth="1"/>
    <col min="3334" max="3334" width="9.7109375" bestFit="1" customWidth="1"/>
    <col min="3585" max="3585" width="8.7109375" customWidth="1"/>
    <col min="3586" max="3586" width="14.28515625" customWidth="1"/>
    <col min="3587" max="3587" width="48.28515625" customWidth="1"/>
    <col min="3588" max="3588" width="20.7109375" customWidth="1"/>
    <col min="3589" max="3589" width="13.7109375" customWidth="1"/>
    <col min="3590" max="3590" width="9.7109375" bestFit="1" customWidth="1"/>
    <col min="3841" max="3841" width="8.7109375" customWidth="1"/>
    <col min="3842" max="3842" width="14.28515625" customWidth="1"/>
    <col min="3843" max="3843" width="48.28515625" customWidth="1"/>
    <col min="3844" max="3844" width="20.7109375" customWidth="1"/>
    <col min="3845" max="3845" width="13.7109375" customWidth="1"/>
    <col min="3846" max="3846" width="9.7109375" bestFit="1" customWidth="1"/>
    <col min="4097" max="4097" width="8.7109375" customWidth="1"/>
    <col min="4098" max="4098" width="14.28515625" customWidth="1"/>
    <col min="4099" max="4099" width="48.28515625" customWidth="1"/>
    <col min="4100" max="4100" width="20.7109375" customWidth="1"/>
    <col min="4101" max="4101" width="13.7109375" customWidth="1"/>
    <col min="4102" max="4102" width="9.7109375" bestFit="1" customWidth="1"/>
    <col min="4353" max="4353" width="8.7109375" customWidth="1"/>
    <col min="4354" max="4354" width="14.28515625" customWidth="1"/>
    <col min="4355" max="4355" width="48.28515625" customWidth="1"/>
    <col min="4356" max="4356" width="20.7109375" customWidth="1"/>
    <col min="4357" max="4357" width="13.7109375" customWidth="1"/>
    <col min="4358" max="4358" width="9.7109375" bestFit="1" customWidth="1"/>
    <col min="4609" max="4609" width="8.7109375" customWidth="1"/>
    <col min="4610" max="4610" width="14.28515625" customWidth="1"/>
    <col min="4611" max="4611" width="48.28515625" customWidth="1"/>
    <col min="4612" max="4612" width="20.7109375" customWidth="1"/>
    <col min="4613" max="4613" width="13.7109375" customWidth="1"/>
    <col min="4614" max="4614" width="9.7109375" bestFit="1" customWidth="1"/>
    <col min="4865" max="4865" width="8.7109375" customWidth="1"/>
    <col min="4866" max="4866" width="14.28515625" customWidth="1"/>
    <col min="4867" max="4867" width="48.28515625" customWidth="1"/>
    <col min="4868" max="4868" width="20.7109375" customWidth="1"/>
    <col min="4869" max="4869" width="13.7109375" customWidth="1"/>
    <col min="4870" max="4870" width="9.7109375" bestFit="1" customWidth="1"/>
    <col min="5121" max="5121" width="8.7109375" customWidth="1"/>
    <col min="5122" max="5122" width="14.28515625" customWidth="1"/>
    <col min="5123" max="5123" width="48.28515625" customWidth="1"/>
    <col min="5124" max="5124" width="20.7109375" customWidth="1"/>
    <col min="5125" max="5125" width="13.7109375" customWidth="1"/>
    <col min="5126" max="5126" width="9.7109375" bestFit="1" customWidth="1"/>
    <col min="5377" max="5377" width="8.7109375" customWidth="1"/>
    <col min="5378" max="5378" width="14.28515625" customWidth="1"/>
    <col min="5379" max="5379" width="48.28515625" customWidth="1"/>
    <col min="5380" max="5380" width="20.7109375" customWidth="1"/>
    <col min="5381" max="5381" width="13.7109375" customWidth="1"/>
    <col min="5382" max="5382" width="9.7109375" bestFit="1" customWidth="1"/>
    <col min="5633" max="5633" width="8.7109375" customWidth="1"/>
    <col min="5634" max="5634" width="14.28515625" customWidth="1"/>
    <col min="5635" max="5635" width="48.28515625" customWidth="1"/>
    <col min="5636" max="5636" width="20.7109375" customWidth="1"/>
    <col min="5637" max="5637" width="13.7109375" customWidth="1"/>
    <col min="5638" max="5638" width="9.7109375" bestFit="1" customWidth="1"/>
    <col min="5889" max="5889" width="8.7109375" customWidth="1"/>
    <col min="5890" max="5890" width="14.28515625" customWidth="1"/>
    <col min="5891" max="5891" width="48.28515625" customWidth="1"/>
    <col min="5892" max="5892" width="20.7109375" customWidth="1"/>
    <col min="5893" max="5893" width="13.7109375" customWidth="1"/>
    <col min="5894" max="5894" width="9.7109375" bestFit="1" customWidth="1"/>
    <col min="6145" max="6145" width="8.7109375" customWidth="1"/>
    <col min="6146" max="6146" width="14.28515625" customWidth="1"/>
    <col min="6147" max="6147" width="48.28515625" customWidth="1"/>
    <col min="6148" max="6148" width="20.7109375" customWidth="1"/>
    <col min="6149" max="6149" width="13.7109375" customWidth="1"/>
    <col min="6150" max="6150" width="9.7109375" bestFit="1" customWidth="1"/>
    <col min="6401" max="6401" width="8.7109375" customWidth="1"/>
    <col min="6402" max="6402" width="14.28515625" customWidth="1"/>
    <col min="6403" max="6403" width="48.28515625" customWidth="1"/>
    <col min="6404" max="6404" width="20.7109375" customWidth="1"/>
    <col min="6405" max="6405" width="13.7109375" customWidth="1"/>
    <col min="6406" max="6406" width="9.7109375" bestFit="1" customWidth="1"/>
    <col min="6657" max="6657" width="8.7109375" customWidth="1"/>
    <col min="6658" max="6658" width="14.28515625" customWidth="1"/>
    <col min="6659" max="6659" width="48.28515625" customWidth="1"/>
    <col min="6660" max="6660" width="20.7109375" customWidth="1"/>
    <col min="6661" max="6661" width="13.7109375" customWidth="1"/>
    <col min="6662" max="6662" width="9.7109375" bestFit="1" customWidth="1"/>
    <col min="6913" max="6913" width="8.7109375" customWidth="1"/>
    <col min="6914" max="6914" width="14.28515625" customWidth="1"/>
    <col min="6915" max="6915" width="48.28515625" customWidth="1"/>
    <col min="6916" max="6916" width="20.7109375" customWidth="1"/>
    <col min="6917" max="6917" width="13.7109375" customWidth="1"/>
    <col min="6918" max="6918" width="9.7109375" bestFit="1" customWidth="1"/>
    <col min="7169" max="7169" width="8.7109375" customWidth="1"/>
    <col min="7170" max="7170" width="14.28515625" customWidth="1"/>
    <col min="7171" max="7171" width="48.28515625" customWidth="1"/>
    <col min="7172" max="7172" width="20.7109375" customWidth="1"/>
    <col min="7173" max="7173" width="13.7109375" customWidth="1"/>
    <col min="7174" max="7174" width="9.7109375" bestFit="1" customWidth="1"/>
    <col min="7425" max="7425" width="8.7109375" customWidth="1"/>
    <col min="7426" max="7426" width="14.28515625" customWidth="1"/>
    <col min="7427" max="7427" width="48.28515625" customWidth="1"/>
    <col min="7428" max="7428" width="20.7109375" customWidth="1"/>
    <col min="7429" max="7429" width="13.7109375" customWidth="1"/>
    <col min="7430" max="7430" width="9.7109375" bestFit="1" customWidth="1"/>
    <col min="7681" max="7681" width="8.7109375" customWidth="1"/>
    <col min="7682" max="7682" width="14.28515625" customWidth="1"/>
    <col min="7683" max="7683" width="48.28515625" customWidth="1"/>
    <col min="7684" max="7684" width="20.7109375" customWidth="1"/>
    <col min="7685" max="7685" width="13.7109375" customWidth="1"/>
    <col min="7686" max="7686" width="9.7109375" bestFit="1" customWidth="1"/>
    <col min="7937" max="7937" width="8.7109375" customWidth="1"/>
    <col min="7938" max="7938" width="14.28515625" customWidth="1"/>
    <col min="7939" max="7939" width="48.28515625" customWidth="1"/>
    <col min="7940" max="7940" width="20.7109375" customWidth="1"/>
    <col min="7941" max="7941" width="13.7109375" customWidth="1"/>
    <col min="7942" max="7942" width="9.7109375" bestFit="1" customWidth="1"/>
    <col min="8193" max="8193" width="8.7109375" customWidth="1"/>
    <col min="8194" max="8194" width="14.28515625" customWidth="1"/>
    <col min="8195" max="8195" width="48.28515625" customWidth="1"/>
    <col min="8196" max="8196" width="20.7109375" customWidth="1"/>
    <col min="8197" max="8197" width="13.7109375" customWidth="1"/>
    <col min="8198" max="8198" width="9.7109375" bestFit="1" customWidth="1"/>
    <col min="8449" max="8449" width="8.7109375" customWidth="1"/>
    <col min="8450" max="8450" width="14.28515625" customWidth="1"/>
    <col min="8451" max="8451" width="48.28515625" customWidth="1"/>
    <col min="8452" max="8452" width="20.7109375" customWidth="1"/>
    <col min="8453" max="8453" width="13.7109375" customWidth="1"/>
    <col min="8454" max="8454" width="9.7109375" bestFit="1" customWidth="1"/>
    <col min="8705" max="8705" width="8.7109375" customWidth="1"/>
    <col min="8706" max="8706" width="14.28515625" customWidth="1"/>
    <col min="8707" max="8707" width="48.28515625" customWidth="1"/>
    <col min="8708" max="8708" width="20.7109375" customWidth="1"/>
    <col min="8709" max="8709" width="13.7109375" customWidth="1"/>
    <col min="8710" max="8710" width="9.7109375" bestFit="1" customWidth="1"/>
    <col min="8961" max="8961" width="8.7109375" customWidth="1"/>
    <col min="8962" max="8962" width="14.28515625" customWidth="1"/>
    <col min="8963" max="8963" width="48.28515625" customWidth="1"/>
    <col min="8964" max="8964" width="20.7109375" customWidth="1"/>
    <col min="8965" max="8965" width="13.7109375" customWidth="1"/>
    <col min="8966" max="8966" width="9.7109375" bestFit="1" customWidth="1"/>
    <col min="9217" max="9217" width="8.7109375" customWidth="1"/>
    <col min="9218" max="9218" width="14.28515625" customWidth="1"/>
    <col min="9219" max="9219" width="48.28515625" customWidth="1"/>
    <col min="9220" max="9220" width="20.7109375" customWidth="1"/>
    <col min="9221" max="9221" width="13.7109375" customWidth="1"/>
    <col min="9222" max="9222" width="9.7109375" bestFit="1" customWidth="1"/>
    <col min="9473" max="9473" width="8.7109375" customWidth="1"/>
    <col min="9474" max="9474" width="14.28515625" customWidth="1"/>
    <col min="9475" max="9475" width="48.28515625" customWidth="1"/>
    <col min="9476" max="9476" width="20.7109375" customWidth="1"/>
    <col min="9477" max="9477" width="13.7109375" customWidth="1"/>
    <col min="9478" max="9478" width="9.7109375" bestFit="1" customWidth="1"/>
    <col min="9729" max="9729" width="8.7109375" customWidth="1"/>
    <col min="9730" max="9730" width="14.28515625" customWidth="1"/>
    <col min="9731" max="9731" width="48.28515625" customWidth="1"/>
    <col min="9732" max="9732" width="20.7109375" customWidth="1"/>
    <col min="9733" max="9733" width="13.7109375" customWidth="1"/>
    <col min="9734" max="9734" width="9.7109375" bestFit="1" customWidth="1"/>
    <col min="9985" max="9985" width="8.7109375" customWidth="1"/>
    <col min="9986" max="9986" width="14.28515625" customWidth="1"/>
    <col min="9987" max="9987" width="48.28515625" customWidth="1"/>
    <col min="9988" max="9988" width="20.7109375" customWidth="1"/>
    <col min="9989" max="9989" width="13.7109375" customWidth="1"/>
    <col min="9990" max="9990" width="9.7109375" bestFit="1" customWidth="1"/>
    <col min="10241" max="10241" width="8.7109375" customWidth="1"/>
    <col min="10242" max="10242" width="14.28515625" customWidth="1"/>
    <col min="10243" max="10243" width="48.28515625" customWidth="1"/>
    <col min="10244" max="10244" width="20.7109375" customWidth="1"/>
    <col min="10245" max="10245" width="13.7109375" customWidth="1"/>
    <col min="10246" max="10246" width="9.7109375" bestFit="1" customWidth="1"/>
    <col min="10497" max="10497" width="8.7109375" customWidth="1"/>
    <col min="10498" max="10498" width="14.28515625" customWidth="1"/>
    <col min="10499" max="10499" width="48.28515625" customWidth="1"/>
    <col min="10500" max="10500" width="20.7109375" customWidth="1"/>
    <col min="10501" max="10501" width="13.7109375" customWidth="1"/>
    <col min="10502" max="10502" width="9.7109375" bestFit="1" customWidth="1"/>
    <col min="10753" max="10753" width="8.7109375" customWidth="1"/>
    <col min="10754" max="10754" width="14.28515625" customWidth="1"/>
    <col min="10755" max="10755" width="48.28515625" customWidth="1"/>
    <col min="10756" max="10756" width="20.7109375" customWidth="1"/>
    <col min="10757" max="10757" width="13.7109375" customWidth="1"/>
    <col min="10758" max="10758" width="9.7109375" bestFit="1" customWidth="1"/>
    <col min="11009" max="11009" width="8.7109375" customWidth="1"/>
    <col min="11010" max="11010" width="14.28515625" customWidth="1"/>
    <col min="11011" max="11011" width="48.28515625" customWidth="1"/>
    <col min="11012" max="11012" width="20.7109375" customWidth="1"/>
    <col min="11013" max="11013" width="13.7109375" customWidth="1"/>
    <col min="11014" max="11014" width="9.7109375" bestFit="1" customWidth="1"/>
    <col min="11265" max="11265" width="8.7109375" customWidth="1"/>
    <col min="11266" max="11266" width="14.28515625" customWidth="1"/>
    <col min="11267" max="11267" width="48.28515625" customWidth="1"/>
    <col min="11268" max="11268" width="20.7109375" customWidth="1"/>
    <col min="11269" max="11269" width="13.7109375" customWidth="1"/>
    <col min="11270" max="11270" width="9.7109375" bestFit="1" customWidth="1"/>
    <col min="11521" max="11521" width="8.7109375" customWidth="1"/>
    <col min="11522" max="11522" width="14.28515625" customWidth="1"/>
    <col min="11523" max="11523" width="48.28515625" customWidth="1"/>
    <col min="11524" max="11524" width="20.7109375" customWidth="1"/>
    <col min="11525" max="11525" width="13.7109375" customWidth="1"/>
    <col min="11526" max="11526" width="9.7109375" bestFit="1" customWidth="1"/>
    <col min="11777" max="11777" width="8.7109375" customWidth="1"/>
    <col min="11778" max="11778" width="14.28515625" customWidth="1"/>
    <col min="11779" max="11779" width="48.28515625" customWidth="1"/>
    <col min="11780" max="11780" width="20.7109375" customWidth="1"/>
    <col min="11781" max="11781" width="13.7109375" customWidth="1"/>
    <col min="11782" max="11782" width="9.7109375" bestFit="1" customWidth="1"/>
    <col min="12033" max="12033" width="8.7109375" customWidth="1"/>
    <col min="12034" max="12034" width="14.28515625" customWidth="1"/>
    <col min="12035" max="12035" width="48.28515625" customWidth="1"/>
    <col min="12036" max="12036" width="20.7109375" customWidth="1"/>
    <col min="12037" max="12037" width="13.7109375" customWidth="1"/>
    <col min="12038" max="12038" width="9.7109375" bestFit="1" customWidth="1"/>
    <col min="12289" max="12289" width="8.7109375" customWidth="1"/>
    <col min="12290" max="12290" width="14.28515625" customWidth="1"/>
    <col min="12291" max="12291" width="48.28515625" customWidth="1"/>
    <col min="12292" max="12292" width="20.7109375" customWidth="1"/>
    <col min="12293" max="12293" width="13.7109375" customWidth="1"/>
    <col min="12294" max="12294" width="9.7109375" bestFit="1" customWidth="1"/>
    <col min="12545" max="12545" width="8.7109375" customWidth="1"/>
    <col min="12546" max="12546" width="14.28515625" customWidth="1"/>
    <col min="12547" max="12547" width="48.28515625" customWidth="1"/>
    <col min="12548" max="12548" width="20.7109375" customWidth="1"/>
    <col min="12549" max="12549" width="13.7109375" customWidth="1"/>
    <col min="12550" max="12550" width="9.7109375" bestFit="1" customWidth="1"/>
    <col min="12801" max="12801" width="8.7109375" customWidth="1"/>
    <col min="12802" max="12802" width="14.28515625" customWidth="1"/>
    <col min="12803" max="12803" width="48.28515625" customWidth="1"/>
    <col min="12804" max="12804" width="20.7109375" customWidth="1"/>
    <col min="12805" max="12805" width="13.7109375" customWidth="1"/>
    <col min="12806" max="12806" width="9.7109375" bestFit="1" customWidth="1"/>
    <col min="13057" max="13057" width="8.7109375" customWidth="1"/>
    <col min="13058" max="13058" width="14.28515625" customWidth="1"/>
    <col min="13059" max="13059" width="48.28515625" customWidth="1"/>
    <col min="13060" max="13060" width="20.7109375" customWidth="1"/>
    <col min="13061" max="13061" width="13.7109375" customWidth="1"/>
    <col min="13062" max="13062" width="9.7109375" bestFit="1" customWidth="1"/>
    <col min="13313" max="13313" width="8.7109375" customWidth="1"/>
    <col min="13314" max="13314" width="14.28515625" customWidth="1"/>
    <col min="13315" max="13315" width="48.28515625" customWidth="1"/>
    <col min="13316" max="13316" width="20.7109375" customWidth="1"/>
    <col min="13317" max="13317" width="13.7109375" customWidth="1"/>
    <col min="13318" max="13318" width="9.7109375" bestFit="1" customWidth="1"/>
    <col min="13569" max="13569" width="8.7109375" customWidth="1"/>
    <col min="13570" max="13570" width="14.28515625" customWidth="1"/>
    <col min="13571" max="13571" width="48.28515625" customWidth="1"/>
    <col min="13572" max="13572" width="20.7109375" customWidth="1"/>
    <col min="13573" max="13573" width="13.7109375" customWidth="1"/>
    <col min="13574" max="13574" width="9.7109375" bestFit="1" customWidth="1"/>
    <col min="13825" max="13825" width="8.7109375" customWidth="1"/>
    <col min="13826" max="13826" width="14.28515625" customWidth="1"/>
    <col min="13827" max="13827" width="48.28515625" customWidth="1"/>
    <col min="13828" max="13828" width="20.7109375" customWidth="1"/>
    <col min="13829" max="13829" width="13.7109375" customWidth="1"/>
    <col min="13830" max="13830" width="9.7109375" bestFit="1" customWidth="1"/>
    <col min="14081" max="14081" width="8.7109375" customWidth="1"/>
    <col min="14082" max="14082" width="14.28515625" customWidth="1"/>
    <col min="14083" max="14083" width="48.28515625" customWidth="1"/>
    <col min="14084" max="14084" width="20.7109375" customWidth="1"/>
    <col min="14085" max="14085" width="13.7109375" customWidth="1"/>
    <col min="14086" max="14086" width="9.7109375" bestFit="1" customWidth="1"/>
    <col min="14337" max="14337" width="8.7109375" customWidth="1"/>
    <col min="14338" max="14338" width="14.28515625" customWidth="1"/>
    <col min="14339" max="14339" width="48.28515625" customWidth="1"/>
    <col min="14340" max="14340" width="20.7109375" customWidth="1"/>
    <col min="14341" max="14341" width="13.7109375" customWidth="1"/>
    <col min="14342" max="14342" width="9.7109375" bestFit="1" customWidth="1"/>
    <col min="14593" max="14593" width="8.7109375" customWidth="1"/>
    <col min="14594" max="14594" width="14.28515625" customWidth="1"/>
    <col min="14595" max="14595" width="48.28515625" customWidth="1"/>
    <col min="14596" max="14596" width="20.7109375" customWidth="1"/>
    <col min="14597" max="14597" width="13.7109375" customWidth="1"/>
    <col min="14598" max="14598" width="9.7109375" bestFit="1" customWidth="1"/>
    <col min="14849" max="14849" width="8.7109375" customWidth="1"/>
    <col min="14850" max="14850" width="14.28515625" customWidth="1"/>
    <col min="14851" max="14851" width="48.28515625" customWidth="1"/>
    <col min="14852" max="14852" width="20.7109375" customWidth="1"/>
    <col min="14853" max="14853" width="13.7109375" customWidth="1"/>
    <col min="14854" max="14854" width="9.7109375" bestFit="1" customWidth="1"/>
    <col min="15105" max="15105" width="8.7109375" customWidth="1"/>
    <col min="15106" max="15106" width="14.28515625" customWidth="1"/>
    <col min="15107" max="15107" width="48.28515625" customWidth="1"/>
    <col min="15108" max="15108" width="20.7109375" customWidth="1"/>
    <col min="15109" max="15109" width="13.7109375" customWidth="1"/>
    <col min="15110" max="15110" width="9.7109375" bestFit="1" customWidth="1"/>
    <col min="15361" max="15361" width="8.7109375" customWidth="1"/>
    <col min="15362" max="15362" width="14.28515625" customWidth="1"/>
    <col min="15363" max="15363" width="48.28515625" customWidth="1"/>
    <col min="15364" max="15364" width="20.7109375" customWidth="1"/>
    <col min="15365" max="15365" width="13.7109375" customWidth="1"/>
    <col min="15366" max="15366" width="9.7109375" bestFit="1" customWidth="1"/>
    <col min="15617" max="15617" width="8.7109375" customWidth="1"/>
    <col min="15618" max="15618" width="14.28515625" customWidth="1"/>
    <col min="15619" max="15619" width="48.28515625" customWidth="1"/>
    <col min="15620" max="15620" width="20.7109375" customWidth="1"/>
    <col min="15621" max="15621" width="13.7109375" customWidth="1"/>
    <col min="15622" max="15622" width="9.7109375" bestFit="1" customWidth="1"/>
    <col min="15873" max="15873" width="8.7109375" customWidth="1"/>
    <col min="15874" max="15874" width="14.28515625" customWidth="1"/>
    <col min="15875" max="15875" width="48.28515625" customWidth="1"/>
    <col min="15876" max="15876" width="20.7109375" customWidth="1"/>
    <col min="15877" max="15877" width="13.7109375" customWidth="1"/>
    <col min="15878" max="15878" width="9.7109375" bestFit="1" customWidth="1"/>
    <col min="16129" max="16129" width="8.7109375" customWidth="1"/>
    <col min="16130" max="16130" width="14.28515625" customWidth="1"/>
    <col min="16131" max="16131" width="48.28515625" customWidth="1"/>
    <col min="16132" max="16132" width="20.7109375" customWidth="1"/>
    <col min="16133" max="16133" width="13.7109375" customWidth="1"/>
    <col min="16134" max="16134" width="9.7109375" bestFit="1" customWidth="1"/>
  </cols>
  <sheetData>
    <row r="1" spans="1:6" ht="23.25" x14ac:dyDescent="0.35">
      <c r="A1" s="37" t="s">
        <v>104</v>
      </c>
      <c r="B1" s="38"/>
      <c r="D1" s="38"/>
      <c r="E1" s="38"/>
      <c r="F1" s="38"/>
    </row>
    <row r="2" spans="1:6" x14ac:dyDescent="0.25">
      <c r="A2" s="40" t="s">
        <v>78</v>
      </c>
      <c r="B2" s="40" t="s">
        <v>79</v>
      </c>
      <c r="C2" s="41" t="s">
        <v>80</v>
      </c>
      <c r="D2" s="40" t="s">
        <v>49</v>
      </c>
      <c r="E2" s="40" t="s">
        <v>81</v>
      </c>
      <c r="F2" s="40" t="s">
        <v>82</v>
      </c>
    </row>
    <row r="3" spans="1:6" ht="28.5" x14ac:dyDescent="0.25">
      <c r="A3" s="53" t="s">
        <v>30</v>
      </c>
      <c r="B3" s="53" t="s">
        <v>101</v>
      </c>
      <c r="C3" s="53" t="s">
        <v>102</v>
      </c>
      <c r="D3" s="162" t="s">
        <v>213</v>
      </c>
      <c r="E3" s="51" t="s">
        <v>55</v>
      </c>
      <c r="F3" s="42" t="s">
        <v>214</v>
      </c>
    </row>
    <row r="4" spans="1:6" ht="313.5" x14ac:dyDescent="0.25">
      <c r="A4" s="42" t="s">
        <v>83</v>
      </c>
      <c r="B4" s="53" t="s">
        <v>221</v>
      </c>
      <c r="C4" s="53" t="s">
        <v>271</v>
      </c>
      <c r="D4" s="162" t="s">
        <v>256</v>
      </c>
      <c r="E4" s="51" t="s">
        <v>55</v>
      </c>
      <c r="F4" s="42" t="s">
        <v>255</v>
      </c>
    </row>
    <row r="5" spans="1:6" ht="142.5" x14ac:dyDescent="0.25">
      <c r="A5" s="42" t="s">
        <v>84</v>
      </c>
      <c r="B5" s="42" t="s">
        <v>279</v>
      </c>
      <c r="C5" s="43" t="s">
        <v>308</v>
      </c>
      <c r="D5" s="162">
        <v>45366</v>
      </c>
      <c r="E5" s="51" t="s">
        <v>55</v>
      </c>
      <c r="F5" s="42" t="s">
        <v>255</v>
      </c>
    </row>
    <row r="6" spans="1:6" x14ac:dyDescent="0.25">
      <c r="A6" s="42" t="s">
        <v>85</v>
      </c>
      <c r="B6" s="42"/>
      <c r="C6" s="43"/>
      <c r="D6" s="42"/>
      <c r="E6" s="42"/>
      <c r="F6" s="42"/>
    </row>
    <row r="7" spans="1:6" x14ac:dyDescent="0.25">
      <c r="A7" s="42" t="s">
        <v>86</v>
      </c>
      <c r="B7" s="42"/>
      <c r="C7" s="43"/>
      <c r="D7" s="42"/>
      <c r="E7" s="42"/>
      <c r="F7" s="42"/>
    </row>
    <row r="8" spans="1:6" x14ac:dyDescent="0.25">
      <c r="A8" s="42" t="s">
        <v>87</v>
      </c>
      <c r="B8" s="42"/>
      <c r="C8" s="43"/>
      <c r="D8" s="42"/>
      <c r="E8" s="42"/>
      <c r="F8" s="42"/>
    </row>
    <row r="9" spans="1:6" x14ac:dyDescent="0.25">
      <c r="A9" s="42" t="s">
        <v>88</v>
      </c>
      <c r="B9" s="42"/>
      <c r="C9" s="43"/>
      <c r="D9" s="42"/>
      <c r="E9" s="42"/>
      <c r="F9" s="42"/>
    </row>
    <row r="10" spans="1:6" x14ac:dyDescent="0.25">
      <c r="A10" s="42" t="s">
        <v>89</v>
      </c>
      <c r="B10" s="42"/>
      <c r="C10" s="43"/>
      <c r="D10" s="42"/>
      <c r="E10" s="42"/>
      <c r="F10" s="42"/>
    </row>
    <row r="11" spans="1:6" x14ac:dyDescent="0.25">
      <c r="A11" s="42" t="s">
        <v>90</v>
      </c>
      <c r="B11" s="42"/>
      <c r="C11" s="43"/>
      <c r="D11" s="42"/>
      <c r="E11" s="42"/>
      <c r="F11" s="42"/>
    </row>
    <row r="12" spans="1:6" x14ac:dyDescent="0.25">
      <c r="A12" s="42" t="s">
        <v>91</v>
      </c>
      <c r="B12" s="42"/>
      <c r="C12" s="43"/>
      <c r="D12" s="42"/>
      <c r="E12" s="42"/>
      <c r="F12" s="42"/>
    </row>
    <row r="13" spans="1:6" x14ac:dyDescent="0.25">
      <c r="A13" s="42" t="s">
        <v>92</v>
      </c>
      <c r="B13" s="42"/>
      <c r="C13" s="43"/>
      <c r="D13" s="42"/>
      <c r="E13" s="42"/>
      <c r="F13" s="42"/>
    </row>
    <row r="14" spans="1:6" x14ac:dyDescent="0.25">
      <c r="A14" s="42" t="s">
        <v>93</v>
      </c>
      <c r="B14" s="42"/>
      <c r="C14" s="43"/>
      <c r="D14" s="42"/>
      <c r="E14" s="42"/>
      <c r="F14" s="42"/>
    </row>
    <row r="15" spans="1:6" x14ac:dyDescent="0.25">
      <c r="A15" s="42" t="s">
        <v>94</v>
      </c>
      <c r="B15" s="42"/>
      <c r="C15" s="43"/>
      <c r="D15" s="42"/>
      <c r="E15" s="42"/>
      <c r="F15" s="42"/>
    </row>
    <row r="16" spans="1:6" x14ac:dyDescent="0.25">
      <c r="A16" s="42" t="s">
        <v>95</v>
      </c>
      <c r="B16" s="42"/>
      <c r="C16" s="43"/>
      <c r="D16" s="42"/>
      <c r="E16" s="42"/>
      <c r="F16" s="42"/>
    </row>
    <row r="17" spans="1:6" x14ac:dyDescent="0.25">
      <c r="A17" s="42" t="s">
        <v>96</v>
      </c>
      <c r="B17" s="42"/>
      <c r="C17" s="43"/>
      <c r="D17" s="42"/>
      <c r="E17" s="42"/>
      <c r="F17" s="42"/>
    </row>
    <row r="18" spans="1:6" x14ac:dyDescent="0.25">
      <c r="A18" s="42" t="s">
        <v>97</v>
      </c>
      <c r="B18" s="42"/>
      <c r="C18" s="43"/>
      <c r="D18" s="42"/>
      <c r="E18" s="42"/>
      <c r="F18" s="42"/>
    </row>
    <row r="19" spans="1:6" x14ac:dyDescent="0.25">
      <c r="A19" s="42" t="s">
        <v>98</v>
      </c>
      <c r="B19" s="42"/>
      <c r="C19" s="43"/>
      <c r="D19" s="42"/>
      <c r="E19" s="42"/>
      <c r="F19" s="42"/>
    </row>
    <row r="20" spans="1:6" x14ac:dyDescent="0.25">
      <c r="A20" s="42" t="s">
        <v>99</v>
      </c>
      <c r="B20" s="42"/>
      <c r="C20" s="43"/>
      <c r="D20" s="42"/>
      <c r="E20" s="42"/>
      <c r="F20" s="42"/>
    </row>
    <row r="21" spans="1:6" x14ac:dyDescent="0.25">
      <c r="A21" s="42" t="s">
        <v>100</v>
      </c>
      <c r="B21" s="42"/>
      <c r="C21" s="43"/>
      <c r="D21" s="42"/>
      <c r="E21" s="42"/>
      <c r="F21"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Cover Sheet</vt:lpstr>
      <vt:lpstr>Development Checklist</vt:lpstr>
      <vt:lpstr>Maintenance Checklist</vt:lpstr>
      <vt:lpstr>Review Checklist</vt:lpstr>
      <vt:lpstr>Module Requirements and Tests</vt:lpstr>
      <vt:lpstr>Integration Verification</vt:lpstr>
      <vt:lpstr>Revision History</vt:lpstr>
      <vt:lpstr>'Cover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2025-11-25T21:57:50Z</dcterms:modified>
</cp:coreProperties>
</file>